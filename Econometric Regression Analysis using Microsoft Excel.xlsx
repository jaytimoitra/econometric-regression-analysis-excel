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lly\Downloads\"/>
    </mc:Choice>
  </mc:AlternateContent>
  <bookViews>
    <workbookView xWindow="0" yWindow="0" windowWidth="19200" windowHeight="6930" activeTab="1"/>
  </bookViews>
  <sheets>
    <sheet name="Sheet1" sheetId="55" r:id="rId1"/>
    <sheet name="DATA" sheetId="1" r:id="rId2"/>
    <sheet name="DATA FOR REGRESSION" sheetId="2" r:id="rId3"/>
    <sheet name="Coefficients" sheetId="3" r:id="rId4"/>
    <sheet name="Y1" sheetId="4" r:id="rId5"/>
    <sheet name="Y2" sheetId="5" r:id="rId6"/>
    <sheet name="Y3" sheetId="6" r:id="rId7"/>
    <sheet name="Y4" sheetId="7" r:id="rId8"/>
    <sheet name="Y5" sheetId="8" r:id="rId9"/>
    <sheet name="Y6" sheetId="9" r:id="rId10"/>
    <sheet name="Y7" sheetId="10" r:id="rId11"/>
    <sheet name="Y8" sheetId="11" r:id="rId12"/>
    <sheet name="Y9" sheetId="12" r:id="rId13"/>
    <sheet name="Y10" sheetId="13" r:id="rId14"/>
    <sheet name="Y11" sheetId="14" r:id="rId15"/>
    <sheet name="Y12" sheetId="15" r:id="rId16"/>
    <sheet name="Y13" sheetId="16" r:id="rId17"/>
    <sheet name="Y14" sheetId="17" r:id="rId18"/>
    <sheet name="Y15" sheetId="18" r:id="rId19"/>
    <sheet name="Y16" sheetId="19" r:id="rId20"/>
    <sheet name="Y17" sheetId="20" r:id="rId21"/>
    <sheet name="Y18" sheetId="21" r:id="rId22"/>
    <sheet name="Y19" sheetId="22" r:id="rId23"/>
    <sheet name="Y20" sheetId="23" r:id="rId24"/>
    <sheet name="Y21" sheetId="24" r:id="rId25"/>
    <sheet name="Y22" sheetId="25" r:id="rId26"/>
    <sheet name="Y23" sheetId="26" r:id="rId27"/>
    <sheet name="Y24" sheetId="27" r:id="rId28"/>
    <sheet name="Y25" sheetId="28" r:id="rId29"/>
    <sheet name="Y26" sheetId="29" r:id="rId30"/>
    <sheet name="Y27" sheetId="30" r:id="rId31"/>
    <sheet name="Y28" sheetId="31" r:id="rId32"/>
    <sheet name="Y29" sheetId="32" r:id="rId33"/>
    <sheet name="Y30" sheetId="33" r:id="rId34"/>
    <sheet name="Y31" sheetId="34" r:id="rId35"/>
    <sheet name="Y32" sheetId="35" r:id="rId36"/>
    <sheet name="Y33" sheetId="36" r:id="rId37"/>
    <sheet name="Y34" sheetId="37" r:id="rId38"/>
    <sheet name="Y35" sheetId="38" r:id="rId39"/>
    <sheet name="Y36" sheetId="39" r:id="rId40"/>
    <sheet name="Y37" sheetId="40" r:id="rId41"/>
    <sheet name="Y38" sheetId="41" r:id="rId42"/>
    <sheet name="Y39" sheetId="42" r:id="rId43"/>
    <sheet name="Y40" sheetId="43" r:id="rId44"/>
    <sheet name="Y41" sheetId="44" r:id="rId45"/>
    <sheet name="Y42" sheetId="45" r:id="rId46"/>
    <sheet name="Y43" sheetId="46" r:id="rId47"/>
    <sheet name="Y44" sheetId="47" r:id="rId48"/>
    <sheet name="Y45" sheetId="48" r:id="rId49"/>
    <sheet name="Y46" sheetId="49" r:id="rId50"/>
    <sheet name="Y47" sheetId="50" r:id="rId51"/>
    <sheet name="Y48" sheetId="51" r:id="rId52"/>
    <sheet name="Y49" sheetId="52" r:id="rId53"/>
    <sheet name="Y50" sheetId="53" r:id="rId54"/>
    <sheet name="Sheet52" sheetId="54" r:id="rId55"/>
  </sheets>
  <calcPr calcId="162913"/>
</workbook>
</file>

<file path=xl/calcChain.xml><?xml version="1.0" encoding="utf-8"?>
<calcChain xmlns="http://schemas.openxmlformats.org/spreadsheetml/2006/main">
  <c r="D19" i="1" l="1"/>
  <c r="G6" i="3"/>
  <c r="F6" i="3"/>
  <c r="G5" i="3"/>
  <c r="G7" i="3" s="1"/>
  <c r="G8" i="3" s="1"/>
  <c r="F5" i="3"/>
  <c r="F7" i="3" s="1"/>
  <c r="F8" i="3" s="1"/>
  <c r="G4" i="3"/>
  <c r="F4" i="3"/>
  <c r="G3" i="3"/>
  <c r="F3" i="3"/>
  <c r="K2" i="3"/>
  <c r="J3" i="3" s="1"/>
  <c r="AQ33" i="1"/>
  <c r="AE33" i="1"/>
  <c r="U33" i="1"/>
  <c r="K33" i="1"/>
  <c r="B33" i="1"/>
  <c r="AX32" i="1"/>
  <c r="AN32" i="1"/>
  <c r="AE32" i="1"/>
  <c r="AD32" i="1"/>
  <c r="U32" i="1"/>
  <c r="R32" i="1"/>
  <c r="I32" i="1"/>
  <c r="H32" i="1"/>
  <c r="B32" i="1"/>
  <c r="AS32" i="1" s="1"/>
  <c r="AZ31" i="1"/>
  <c r="AY31" i="1"/>
  <c r="AX31" i="1"/>
  <c r="AW31" i="1"/>
  <c r="AQ31" i="1"/>
  <c r="AP31" i="1"/>
  <c r="AO31" i="1"/>
  <c r="AN31" i="1"/>
  <c r="AK31" i="1"/>
  <c r="AG31" i="1"/>
  <c r="AF31" i="1"/>
  <c r="AC31" i="1"/>
  <c r="AB31" i="1"/>
  <c r="AA31" i="1"/>
  <c r="U31" i="1"/>
  <c r="T31" i="1"/>
  <c r="S31" i="1"/>
  <c r="R31" i="1"/>
  <c r="Q31" i="1"/>
  <c r="K31" i="1"/>
  <c r="J31" i="1"/>
  <c r="I31" i="1"/>
  <c r="H31" i="1"/>
  <c r="E31" i="1"/>
  <c r="B31" i="1"/>
  <c r="AZ30" i="1"/>
  <c r="AY30" i="1"/>
  <c r="AV30" i="1"/>
  <c r="AU30" i="1"/>
  <c r="AT30" i="1"/>
  <c r="AS30" i="1"/>
  <c r="AR30" i="1"/>
  <c r="AQ30" i="1"/>
  <c r="AN30" i="1"/>
  <c r="AM30" i="1"/>
  <c r="AL30" i="1"/>
  <c r="AK30" i="1"/>
  <c r="AJ30" i="1"/>
  <c r="AI30" i="1"/>
  <c r="AF30" i="1"/>
  <c r="AE30" i="1"/>
  <c r="AD30" i="1"/>
  <c r="AC30" i="1"/>
  <c r="AB30" i="1"/>
  <c r="AA30" i="1"/>
  <c r="X30" i="1"/>
  <c r="W30" i="1"/>
  <c r="V30" i="1"/>
  <c r="U30" i="1"/>
  <c r="T30" i="1"/>
  <c r="S30" i="1"/>
  <c r="P30" i="1"/>
  <c r="O30" i="1"/>
  <c r="N30" i="1"/>
  <c r="M30" i="1"/>
  <c r="L30" i="1"/>
  <c r="K30" i="1"/>
  <c r="H30" i="1"/>
  <c r="G30" i="1"/>
  <c r="F30" i="1"/>
  <c r="E30" i="1"/>
  <c r="D30" i="1"/>
  <c r="C30" i="1"/>
  <c r="B30" i="1"/>
  <c r="AX30" i="1" s="1"/>
  <c r="B29" i="1"/>
  <c r="AQ29" i="1" s="1"/>
  <c r="AQ28" i="1"/>
  <c r="AG28" i="1"/>
  <c r="U28" i="1"/>
  <c r="K28" i="1"/>
  <c r="B28" i="1"/>
  <c r="AS28" i="1" s="1"/>
  <c r="AZ27" i="1"/>
  <c r="AW27" i="1"/>
  <c r="AV27" i="1"/>
  <c r="AU27" i="1"/>
  <c r="AT27" i="1"/>
  <c r="AS27" i="1"/>
  <c r="AR27" i="1"/>
  <c r="AO27" i="1"/>
  <c r="AN27" i="1"/>
  <c r="AM27" i="1"/>
  <c r="AL27" i="1"/>
  <c r="AK27" i="1"/>
  <c r="AJ27" i="1"/>
  <c r="AG27" i="1"/>
  <c r="AF27" i="1"/>
  <c r="AE27" i="1"/>
  <c r="AD27" i="1"/>
  <c r="AC27" i="1"/>
  <c r="AB27" i="1"/>
  <c r="AA27" i="1"/>
  <c r="Y27" i="1"/>
  <c r="X27" i="1"/>
  <c r="W27" i="1"/>
  <c r="V27" i="1"/>
  <c r="U27" i="1"/>
  <c r="T27" i="1"/>
  <c r="S27" i="1"/>
  <c r="Q27" i="1"/>
  <c r="P27" i="1"/>
  <c r="O27" i="1"/>
  <c r="N27" i="1"/>
  <c r="M27" i="1"/>
  <c r="L27" i="1"/>
  <c r="K27" i="1"/>
  <c r="I27" i="1"/>
  <c r="H27" i="1"/>
  <c r="G27" i="1"/>
  <c r="F27" i="1"/>
  <c r="E27" i="1"/>
  <c r="D27" i="1"/>
  <c r="C27" i="1"/>
  <c r="B27" i="1"/>
  <c r="AY27" i="1" s="1"/>
  <c r="B26" i="1"/>
  <c r="AQ26" i="1" s="1"/>
  <c r="AQ25" i="1"/>
  <c r="AE25" i="1"/>
  <c r="V25" i="1"/>
  <c r="U25" i="1"/>
  <c r="K25" i="1"/>
  <c r="B25" i="1"/>
  <c r="AS25" i="1" s="1"/>
  <c r="AX24" i="1"/>
  <c r="AO24" i="1"/>
  <c r="AN24" i="1"/>
  <c r="AE24" i="1"/>
  <c r="AD24" i="1"/>
  <c r="X24" i="1"/>
  <c r="U24" i="1"/>
  <c r="R24" i="1"/>
  <c r="I24" i="1"/>
  <c r="H24" i="1"/>
  <c r="B24" i="1"/>
  <c r="AV24" i="1" s="1"/>
  <c r="AZ23" i="1"/>
  <c r="AY23" i="1"/>
  <c r="AX23" i="1"/>
  <c r="AW23" i="1"/>
  <c r="AQ23" i="1"/>
  <c r="AP23" i="1"/>
  <c r="AO23" i="1"/>
  <c r="AN23" i="1"/>
  <c r="AK23" i="1"/>
  <c r="AG23" i="1"/>
  <c r="AF23" i="1"/>
  <c r="AC23" i="1"/>
  <c r="AB23" i="1"/>
  <c r="AA23" i="1"/>
  <c r="U23" i="1"/>
  <c r="T23" i="1"/>
  <c r="S23" i="1"/>
  <c r="R23" i="1"/>
  <c r="Q23" i="1"/>
  <c r="K23" i="1"/>
  <c r="J23" i="1"/>
  <c r="I23" i="1"/>
  <c r="H23" i="1"/>
  <c r="E23" i="1"/>
  <c r="B23" i="1"/>
  <c r="AZ22" i="1"/>
  <c r="AY22" i="1"/>
  <c r="AV22" i="1"/>
  <c r="AU22" i="1"/>
  <c r="AT22" i="1"/>
  <c r="AS22" i="1"/>
  <c r="AR22" i="1"/>
  <c r="AQ22" i="1"/>
  <c r="AN22" i="1"/>
  <c r="AM22" i="1"/>
  <c r="AL22" i="1"/>
  <c r="AK22" i="1"/>
  <c r="AJ22" i="1"/>
  <c r="AI22" i="1"/>
  <c r="AF22" i="1"/>
  <c r="AE22" i="1"/>
  <c r="AD22" i="1"/>
  <c r="AC22" i="1"/>
  <c r="AB22" i="1"/>
  <c r="AA22" i="1"/>
  <c r="X22" i="1"/>
  <c r="W22" i="1"/>
  <c r="V22" i="1"/>
  <c r="U22" i="1"/>
  <c r="T22" i="1"/>
  <c r="S22" i="1"/>
  <c r="P22" i="1"/>
  <c r="O22" i="1"/>
  <c r="N22" i="1"/>
  <c r="M22" i="1"/>
  <c r="L22" i="1"/>
  <c r="K22" i="1"/>
  <c r="H22" i="1"/>
  <c r="G22" i="1"/>
  <c r="F22" i="1"/>
  <c r="E22" i="1"/>
  <c r="D22" i="1"/>
  <c r="C22" i="1"/>
  <c r="B22" i="1"/>
  <c r="AX22" i="1" s="1"/>
  <c r="AX21" i="1"/>
  <c r="AW21" i="1"/>
  <c r="AV21" i="1"/>
  <c r="AU21" i="1"/>
  <c r="AT21" i="1"/>
  <c r="AN21" i="1"/>
  <c r="AM21" i="1"/>
  <c r="AL21" i="1"/>
  <c r="AI21" i="1"/>
  <c r="AH21" i="1"/>
  <c r="AD21" i="1"/>
  <c r="AA21" i="1"/>
  <c r="Z21" i="1"/>
  <c r="Y21" i="1"/>
  <c r="X21" i="1"/>
  <c r="R21" i="1"/>
  <c r="Q21" i="1"/>
  <c r="P21" i="1"/>
  <c r="O21" i="1"/>
  <c r="N21" i="1"/>
  <c r="I21" i="1"/>
  <c r="H21" i="1"/>
  <c r="G21" i="1"/>
  <c r="F21" i="1"/>
  <c r="E21" i="1"/>
  <c r="B21" i="1"/>
  <c r="AZ20" i="1"/>
  <c r="AY20" i="1"/>
  <c r="AW20" i="1"/>
  <c r="AV20" i="1"/>
  <c r="AR20" i="1"/>
  <c r="AQ20" i="1"/>
  <c r="AO20" i="1"/>
  <c r="AN20" i="1"/>
  <c r="AJ20" i="1"/>
  <c r="AI20" i="1"/>
  <c r="AG20" i="1"/>
  <c r="AF20" i="1"/>
  <c r="AB20" i="1"/>
  <c r="AA20" i="1"/>
  <c r="Y20" i="1"/>
  <c r="X20" i="1"/>
  <c r="T20" i="1"/>
  <c r="S20" i="1"/>
  <c r="Q20" i="1"/>
  <c r="P20" i="1"/>
  <c r="L20" i="1"/>
  <c r="K20" i="1"/>
  <c r="I20" i="1"/>
  <c r="H20" i="1"/>
  <c r="D20" i="1"/>
  <c r="C20" i="1"/>
  <c r="B20" i="1"/>
  <c r="AU20" i="1" s="1"/>
  <c r="AZ19" i="1"/>
  <c r="AY19" i="1"/>
  <c r="AU19" i="1"/>
  <c r="AT19" i="1"/>
  <c r="AS19" i="1"/>
  <c r="AR19" i="1"/>
  <c r="AQ19" i="1"/>
  <c r="AM19" i="1"/>
  <c r="AL19" i="1"/>
  <c r="AK19" i="1"/>
  <c r="AJ19" i="1"/>
  <c r="AI19" i="1"/>
  <c r="AE19" i="1"/>
  <c r="AD19" i="1"/>
  <c r="AC19" i="1"/>
  <c r="AB19" i="1"/>
  <c r="AA19" i="1"/>
  <c r="W19" i="1"/>
  <c r="V19" i="1"/>
  <c r="U19" i="1"/>
  <c r="T19" i="1"/>
  <c r="S19" i="1"/>
  <c r="O19" i="1"/>
  <c r="N19" i="1"/>
  <c r="M19" i="1"/>
  <c r="L19" i="1"/>
  <c r="K19" i="1"/>
  <c r="G19" i="1"/>
  <c r="F19" i="1"/>
  <c r="E19" i="1"/>
  <c r="C19" i="1"/>
  <c r="B19" i="1"/>
  <c r="AX19" i="1" s="1"/>
  <c r="M3" i="3" l="1"/>
  <c r="K3" i="3"/>
  <c r="J4" i="3" s="1"/>
  <c r="L25" i="1"/>
  <c r="AH25" i="1"/>
  <c r="C26" i="1"/>
  <c r="Y26" i="1"/>
  <c r="AI26" i="1"/>
  <c r="L28" i="1"/>
  <c r="V28" i="1"/>
  <c r="AH28" i="1"/>
  <c r="AR28" i="1"/>
  <c r="C29" i="1"/>
  <c r="O29" i="1"/>
  <c r="Y29" i="1"/>
  <c r="AI29" i="1"/>
  <c r="AU29" i="1"/>
  <c r="AO32" i="1"/>
  <c r="AW33" i="1"/>
  <c r="AO33" i="1"/>
  <c r="AG33" i="1"/>
  <c r="Y33" i="1"/>
  <c r="Q33" i="1"/>
  <c r="I33" i="1"/>
  <c r="AV33" i="1"/>
  <c r="AN33" i="1"/>
  <c r="AF33" i="1"/>
  <c r="X33" i="1"/>
  <c r="P33" i="1"/>
  <c r="H33" i="1"/>
  <c r="L33" i="1"/>
  <c r="V33" i="1"/>
  <c r="AH33" i="1"/>
  <c r="AR33" i="1"/>
  <c r="L2" i="3"/>
  <c r="J20" i="1"/>
  <c r="R20" i="1"/>
  <c r="Z20" i="1"/>
  <c r="AH20" i="1"/>
  <c r="AP20" i="1"/>
  <c r="AX20" i="1"/>
  <c r="J24" i="1"/>
  <c r="V24" i="1"/>
  <c r="AF24" i="1"/>
  <c r="AP24" i="1"/>
  <c r="C25" i="1"/>
  <c r="M25" i="1"/>
  <c r="W25" i="1"/>
  <c r="AI25" i="1"/>
  <c r="D26" i="1"/>
  <c r="P26" i="1"/>
  <c r="Z26" i="1"/>
  <c r="AJ26" i="1"/>
  <c r="AV26" i="1"/>
  <c r="C28" i="1"/>
  <c r="M28" i="1"/>
  <c r="Y28" i="1"/>
  <c r="AI28" i="1"/>
  <c r="F29" i="1"/>
  <c r="P29" i="1"/>
  <c r="Z29" i="1"/>
  <c r="AL29" i="1"/>
  <c r="AV29" i="1"/>
  <c r="J32" i="1"/>
  <c r="V32" i="1"/>
  <c r="AF32" i="1"/>
  <c r="AP32" i="1"/>
  <c r="C33" i="1"/>
  <c r="M33" i="1"/>
  <c r="W33" i="1"/>
  <c r="AI33" i="1"/>
  <c r="AS33" i="1"/>
  <c r="M2" i="3"/>
  <c r="AW25" i="1"/>
  <c r="AO25" i="1"/>
  <c r="AG25" i="1"/>
  <c r="Y25" i="1"/>
  <c r="Q25" i="1"/>
  <c r="I25" i="1"/>
  <c r="AV25" i="1"/>
  <c r="AN25" i="1"/>
  <c r="AF25" i="1"/>
  <c r="X25" i="1"/>
  <c r="P25" i="1"/>
  <c r="H25" i="1"/>
  <c r="AR25" i="1"/>
  <c r="O26" i="1"/>
  <c r="AU26" i="1"/>
  <c r="AV28" i="1"/>
  <c r="AN28" i="1"/>
  <c r="AF28" i="1"/>
  <c r="X28" i="1"/>
  <c r="P28" i="1"/>
  <c r="H28" i="1"/>
  <c r="AU28" i="1"/>
  <c r="AM28" i="1"/>
  <c r="AE28" i="1"/>
  <c r="W28" i="1"/>
  <c r="O28" i="1"/>
  <c r="G28" i="1"/>
  <c r="M24" i="1"/>
  <c r="W24" i="1"/>
  <c r="AG24" i="1"/>
  <c r="AS24" i="1"/>
  <c r="D25" i="1"/>
  <c r="N25" i="1"/>
  <c r="Z25" i="1"/>
  <c r="AJ25" i="1"/>
  <c r="AT25" i="1"/>
  <c r="G26" i="1"/>
  <c r="Q26" i="1"/>
  <c r="AA26" i="1"/>
  <c r="AM26" i="1"/>
  <c r="AW26" i="1"/>
  <c r="D28" i="1"/>
  <c r="N28" i="1"/>
  <c r="Z28" i="1"/>
  <c r="AJ28" i="1"/>
  <c r="AT28" i="1"/>
  <c r="G29" i="1"/>
  <c r="Q29" i="1"/>
  <c r="AA29" i="1"/>
  <c r="AM29" i="1"/>
  <c r="AW29" i="1"/>
  <c r="M32" i="1"/>
  <c r="W32" i="1"/>
  <c r="AG32" i="1"/>
  <c r="D33" i="1"/>
  <c r="N33" i="1"/>
  <c r="Z33" i="1"/>
  <c r="AJ33" i="1"/>
  <c r="AT33" i="1"/>
  <c r="AN26" i="1"/>
  <c r="H29" i="1"/>
  <c r="AK33" i="1"/>
  <c r="N24" i="1"/>
  <c r="E25" i="1"/>
  <c r="H26" i="1"/>
  <c r="Q28" i="1"/>
  <c r="AW28" i="1"/>
  <c r="AN29" i="1"/>
  <c r="AZ32" i="1"/>
  <c r="AR32" i="1"/>
  <c r="AJ32" i="1"/>
  <c r="AB32" i="1"/>
  <c r="T32" i="1"/>
  <c r="L32" i="1"/>
  <c r="D32" i="1"/>
  <c r="AY32" i="1"/>
  <c r="AQ32" i="1"/>
  <c r="AI32" i="1"/>
  <c r="AA32" i="1"/>
  <c r="S32" i="1"/>
  <c r="K32" i="1"/>
  <c r="C32" i="1"/>
  <c r="H19" i="1"/>
  <c r="P19" i="1"/>
  <c r="X19" i="1"/>
  <c r="AF19" i="1"/>
  <c r="AN19" i="1"/>
  <c r="AV19" i="1"/>
  <c r="E20" i="1"/>
  <c r="M20" i="1"/>
  <c r="U20" i="1"/>
  <c r="AC20" i="1"/>
  <c r="AK20" i="1"/>
  <c r="AS20" i="1"/>
  <c r="AS21" i="1"/>
  <c r="AK21" i="1"/>
  <c r="AC21" i="1"/>
  <c r="U21" i="1"/>
  <c r="M21" i="1"/>
  <c r="AZ21" i="1"/>
  <c r="AR21" i="1"/>
  <c r="AJ21" i="1"/>
  <c r="AB21" i="1"/>
  <c r="T21" i="1"/>
  <c r="J21" i="1"/>
  <c r="S21" i="1"/>
  <c r="AE21" i="1"/>
  <c r="AO21" i="1"/>
  <c r="AY21" i="1"/>
  <c r="AU23" i="1"/>
  <c r="AM23" i="1"/>
  <c r="AE23" i="1"/>
  <c r="W23" i="1"/>
  <c r="O23" i="1"/>
  <c r="G23" i="1"/>
  <c r="AT23" i="1"/>
  <c r="AL23" i="1"/>
  <c r="AD23" i="1"/>
  <c r="V23" i="1"/>
  <c r="N23" i="1"/>
  <c r="F23" i="1"/>
  <c r="L23" i="1"/>
  <c r="X23" i="1"/>
  <c r="AH23" i="1"/>
  <c r="AR23" i="1"/>
  <c r="E24" i="1"/>
  <c r="O24" i="1"/>
  <c r="Y24" i="1"/>
  <c r="AK24" i="1"/>
  <c r="AU24" i="1"/>
  <c r="F25" i="1"/>
  <c r="R25" i="1"/>
  <c r="AB25" i="1"/>
  <c r="AL25" i="1"/>
  <c r="AX25" i="1"/>
  <c r="I26" i="1"/>
  <c r="S26" i="1"/>
  <c r="AE26" i="1"/>
  <c r="AO26" i="1"/>
  <c r="AY26" i="1"/>
  <c r="F28" i="1"/>
  <c r="R28" i="1"/>
  <c r="AB28" i="1"/>
  <c r="AL28" i="1"/>
  <c r="AX28" i="1"/>
  <c r="I29" i="1"/>
  <c r="S29" i="1"/>
  <c r="AE29" i="1"/>
  <c r="AO29" i="1"/>
  <c r="AY29" i="1"/>
  <c r="AU31" i="1"/>
  <c r="AM31" i="1"/>
  <c r="AE31" i="1"/>
  <c r="W31" i="1"/>
  <c r="O31" i="1"/>
  <c r="G31" i="1"/>
  <c r="AT31" i="1"/>
  <c r="AL31" i="1"/>
  <c r="AD31" i="1"/>
  <c r="V31" i="1"/>
  <c r="N31" i="1"/>
  <c r="F31" i="1"/>
  <c r="L31" i="1"/>
  <c r="X31" i="1"/>
  <c r="AH31" i="1"/>
  <c r="AR31" i="1"/>
  <c r="E32" i="1"/>
  <c r="O32" i="1"/>
  <c r="Y32" i="1"/>
  <c r="AK32" i="1"/>
  <c r="AU32" i="1"/>
  <c r="F33" i="1"/>
  <c r="R33" i="1"/>
  <c r="AB33" i="1"/>
  <c r="AL33" i="1"/>
  <c r="AX33" i="1"/>
  <c r="AH24" i="1"/>
  <c r="O25" i="1"/>
  <c r="AK25" i="1"/>
  <c r="R26" i="1"/>
  <c r="AA28" i="1"/>
  <c r="R29" i="1"/>
  <c r="AX29" i="1"/>
  <c r="N32" i="1"/>
  <c r="X32" i="1"/>
  <c r="AT32" i="1"/>
  <c r="E33" i="1"/>
  <c r="O33" i="1"/>
  <c r="AA33" i="1"/>
  <c r="I19" i="1"/>
  <c r="Q19" i="1"/>
  <c r="Y19" i="1"/>
  <c r="AG19" i="1"/>
  <c r="AO19" i="1"/>
  <c r="AW19" i="1"/>
  <c r="F20" i="1"/>
  <c r="N20" i="1"/>
  <c r="V20" i="1"/>
  <c r="AD20" i="1"/>
  <c r="AL20" i="1"/>
  <c r="AT20" i="1"/>
  <c r="C21" i="1"/>
  <c r="K21" i="1"/>
  <c r="V21" i="1"/>
  <c r="AF21" i="1"/>
  <c r="AP21" i="1"/>
  <c r="C23" i="1"/>
  <c r="M23" i="1"/>
  <c r="Y23" i="1"/>
  <c r="AI23" i="1"/>
  <c r="AS23" i="1"/>
  <c r="F24" i="1"/>
  <c r="P24" i="1"/>
  <c r="Z24" i="1"/>
  <c r="AL24" i="1"/>
  <c r="G25" i="1"/>
  <c r="S25" i="1"/>
  <c r="AC25" i="1"/>
  <c r="AM25" i="1"/>
  <c r="AY25" i="1"/>
  <c r="J26" i="1"/>
  <c r="T26" i="1"/>
  <c r="AF26" i="1"/>
  <c r="AP26" i="1"/>
  <c r="AZ26" i="1"/>
  <c r="I28" i="1"/>
  <c r="S28" i="1"/>
  <c r="AC28" i="1"/>
  <c r="AO28" i="1"/>
  <c r="AY28" i="1"/>
  <c r="J29" i="1"/>
  <c r="V29" i="1"/>
  <c r="AF29" i="1"/>
  <c r="AP29" i="1"/>
  <c r="C31" i="1"/>
  <c r="M31" i="1"/>
  <c r="Y31" i="1"/>
  <c r="AI31" i="1"/>
  <c r="AS31" i="1"/>
  <c r="F32" i="1"/>
  <c r="P32" i="1"/>
  <c r="Z32" i="1"/>
  <c r="AL32" i="1"/>
  <c r="AV32" i="1"/>
  <c r="G33" i="1"/>
  <c r="S33" i="1"/>
  <c r="AC33" i="1"/>
  <c r="AM33" i="1"/>
  <c r="AY33" i="1"/>
  <c r="AZ24" i="1"/>
  <c r="AR24" i="1"/>
  <c r="AJ24" i="1"/>
  <c r="AB24" i="1"/>
  <c r="T24" i="1"/>
  <c r="L24" i="1"/>
  <c r="D24" i="1"/>
  <c r="AY24" i="1"/>
  <c r="AQ24" i="1"/>
  <c r="AI24" i="1"/>
  <c r="AA24" i="1"/>
  <c r="S24" i="1"/>
  <c r="K24" i="1"/>
  <c r="C24" i="1"/>
  <c r="AT24" i="1"/>
  <c r="AA25" i="1"/>
  <c r="AU25" i="1"/>
  <c r="AB26" i="1"/>
  <c r="AX26" i="1"/>
  <c r="E28" i="1"/>
  <c r="AK28" i="1"/>
  <c r="AD29" i="1"/>
  <c r="AH32" i="1"/>
  <c r="AU33" i="1"/>
  <c r="J19" i="1"/>
  <c r="R19" i="1"/>
  <c r="Z19" i="1"/>
  <c r="AH19" i="1"/>
  <c r="AP19" i="1"/>
  <c r="G20" i="1"/>
  <c r="O20" i="1"/>
  <c r="W20" i="1"/>
  <c r="AE20" i="1"/>
  <c r="AM20" i="1"/>
  <c r="D21" i="1"/>
  <c r="L21" i="1"/>
  <c r="W21" i="1"/>
  <c r="AG21" i="1"/>
  <c r="AQ21" i="1"/>
  <c r="D23" i="1"/>
  <c r="P23" i="1"/>
  <c r="Z23" i="1"/>
  <c r="AJ23" i="1"/>
  <c r="AV23" i="1"/>
  <c r="G24" i="1"/>
  <c r="Q24" i="1"/>
  <c r="AC24" i="1"/>
  <c r="AM24" i="1"/>
  <c r="AW24" i="1"/>
  <c r="J25" i="1"/>
  <c r="T25" i="1"/>
  <c r="AD25" i="1"/>
  <c r="AP25" i="1"/>
  <c r="AZ25" i="1"/>
  <c r="K26" i="1"/>
  <c r="W26" i="1"/>
  <c r="AG26" i="1"/>
  <c r="J28" i="1"/>
  <c r="T28" i="1"/>
  <c r="AD28" i="1"/>
  <c r="AP28" i="1"/>
  <c r="AZ28" i="1"/>
  <c r="K29" i="1"/>
  <c r="W29" i="1"/>
  <c r="AG29" i="1"/>
  <c r="D31" i="1"/>
  <c r="P31" i="1"/>
  <c r="Z31" i="1"/>
  <c r="AJ31" i="1"/>
  <c r="AV31" i="1"/>
  <c r="G32" i="1"/>
  <c r="Q32" i="1"/>
  <c r="AC32" i="1"/>
  <c r="AM32" i="1"/>
  <c r="AW32" i="1"/>
  <c r="J33" i="1"/>
  <c r="T33" i="1"/>
  <c r="AD33" i="1"/>
  <c r="AP33" i="1"/>
  <c r="AZ33" i="1"/>
  <c r="AT26" i="1"/>
  <c r="AL26" i="1"/>
  <c r="AD26" i="1"/>
  <c r="V26" i="1"/>
  <c r="N26" i="1"/>
  <c r="F26" i="1"/>
  <c r="AS26" i="1"/>
  <c r="AK26" i="1"/>
  <c r="AC26" i="1"/>
  <c r="U26" i="1"/>
  <c r="M26" i="1"/>
  <c r="E26" i="1"/>
  <c r="L26" i="1"/>
  <c r="X26" i="1"/>
  <c r="AH26" i="1"/>
  <c r="AR26" i="1"/>
  <c r="AS29" i="1"/>
  <c r="AK29" i="1"/>
  <c r="AC29" i="1"/>
  <c r="U29" i="1"/>
  <c r="M29" i="1"/>
  <c r="E29" i="1"/>
  <c r="AZ29" i="1"/>
  <c r="AR29" i="1"/>
  <c r="AJ29" i="1"/>
  <c r="AB29" i="1"/>
  <c r="T29" i="1"/>
  <c r="L29" i="1"/>
  <c r="D29" i="1"/>
  <c r="N29" i="1"/>
  <c r="X29" i="1"/>
  <c r="AH29" i="1"/>
  <c r="AT29" i="1"/>
  <c r="I22" i="1"/>
  <c r="Q22" i="1"/>
  <c r="Y22" i="1"/>
  <c r="AG22" i="1"/>
  <c r="AO22" i="1"/>
  <c r="AW22" i="1"/>
  <c r="J27" i="1"/>
  <c r="R27" i="1"/>
  <c r="Z27" i="1"/>
  <c r="AH27" i="1"/>
  <c r="AP27" i="1"/>
  <c r="AX27" i="1"/>
  <c r="I30" i="1"/>
  <c r="Q30" i="1"/>
  <c r="Y30" i="1"/>
  <c r="AG30" i="1"/>
  <c r="AO30" i="1"/>
  <c r="AW30" i="1"/>
  <c r="J22" i="1"/>
  <c r="R22" i="1"/>
  <c r="Z22" i="1"/>
  <c r="AH22" i="1"/>
  <c r="AP22" i="1"/>
  <c r="AI27" i="1"/>
  <c r="AQ27" i="1"/>
  <c r="J30" i="1"/>
  <c r="R30" i="1"/>
  <c r="Z30" i="1"/>
  <c r="AH30" i="1"/>
  <c r="AP30" i="1"/>
  <c r="K4" i="3" l="1"/>
  <c r="J5" i="3" s="1"/>
  <c r="L3" i="3"/>
  <c r="L4" i="3" l="1"/>
  <c r="K5" i="3"/>
  <c r="J6" i="3" s="1"/>
  <c r="L5" i="3"/>
  <c r="M4" i="3"/>
  <c r="M6" i="3" l="1"/>
  <c r="K6" i="3"/>
  <c r="J7" i="3" s="1"/>
  <c r="M5" i="3"/>
  <c r="M7" i="3" l="1"/>
  <c r="K7" i="3"/>
  <c r="J8" i="3" s="1"/>
  <c r="L6" i="3"/>
  <c r="M8" i="3" l="1"/>
  <c r="K8" i="3"/>
  <c r="J9" i="3" s="1"/>
  <c r="L7" i="3"/>
  <c r="M9" i="3" l="1"/>
  <c r="K9" i="3"/>
  <c r="J10" i="3" s="1"/>
  <c r="L8" i="3"/>
  <c r="M10" i="3" l="1"/>
  <c r="K10" i="3"/>
  <c r="J11" i="3" s="1"/>
  <c r="L9" i="3"/>
  <c r="M11" i="3" l="1"/>
  <c r="K11" i="3"/>
  <c r="L11" i="3" s="1"/>
  <c r="L10" i="3"/>
</calcChain>
</file>

<file path=xl/sharedStrings.xml><?xml version="1.0" encoding="utf-8"?>
<sst xmlns="http://schemas.openxmlformats.org/spreadsheetml/2006/main" count="1495" uniqueCount="162">
  <si>
    <t>X</t>
  </si>
  <si>
    <t>Z</t>
  </si>
  <si>
    <t>e1</t>
  </si>
  <si>
    <t>e2</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</si>
  <si>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</si>
  <si>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</si>
  <si>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</si>
  <si>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</si>
  <si>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</si>
  <si>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</si>
  <si>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</si>
  <si>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</si>
  <si>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</si>
  <si>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</si>
  <si>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</si>
  <si>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</si>
  <si>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</si>
  <si>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</si>
  <si>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</si>
  <si>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</si>
  <si>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</si>
  <si>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</si>
  <si>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</si>
  <si>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</si>
  <si>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</si>
  <si>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</si>
  <si>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</si>
  <si>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</si>
  <si>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</si>
  <si>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</si>
  <si>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</si>
  <si>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</si>
  <si>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</si>
  <si>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</si>
  <si>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</si>
  <si>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</si>
  <si>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</si>
  <si>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</si>
  <si>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</si>
  <si>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</si>
  <si>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</si>
  <si>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</si>
  <si>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</si>
  <si>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</si>
  <si>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</si>
  <si>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</si>
  <si>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</si>
  <si>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</si>
  <si>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</si>
  <si>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</si>
  <si>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</si>
  <si>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</si>
  <si>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Y1</t>
  </si>
  <si>
    <t>Y2</t>
  </si>
  <si>
    <t>Y3</t>
  </si>
  <si>
    <t>Y4</t>
  </si>
  <si>
    <t>Y5</t>
  </si>
  <si>
    <t>Y6</t>
  </si>
  <si>
    <t>Y7</t>
  </si>
  <si>
    <t>Y8</t>
  </si>
  <si>
    <t>Y9</t>
  </si>
  <si>
    <t>Y10</t>
  </si>
  <si>
    <t>Y11</t>
  </si>
  <si>
    <t>Y12</t>
  </si>
  <si>
    <t>Y13</t>
  </si>
  <si>
    <t>Y14</t>
  </si>
  <si>
    <t>Y15</t>
  </si>
  <si>
    <t>Y16</t>
  </si>
  <si>
    <t>Y17</t>
  </si>
  <si>
    <t>Y18</t>
  </si>
  <si>
    <t>Y19</t>
  </si>
  <si>
    <t>Y20</t>
  </si>
  <si>
    <t>Y21</t>
  </si>
  <si>
    <t>Y22</t>
  </si>
  <si>
    <t>Y23</t>
  </si>
  <si>
    <t>Y24</t>
  </si>
  <si>
    <t>Y25</t>
  </si>
  <si>
    <t>Y26</t>
  </si>
  <si>
    <t>Y27</t>
  </si>
  <si>
    <t>Y28</t>
  </si>
  <si>
    <t>Y29</t>
  </si>
  <si>
    <t>Y30</t>
  </si>
  <si>
    <t>Y31</t>
  </si>
  <si>
    <t>Y32</t>
  </si>
  <si>
    <t>Y33</t>
  </si>
  <si>
    <t>Y34</t>
  </si>
  <si>
    <t>Y35</t>
  </si>
  <si>
    <t>Y36</t>
  </si>
  <si>
    <t>Y37</t>
  </si>
  <si>
    <t>Y38</t>
  </si>
  <si>
    <t>Y39</t>
  </si>
  <si>
    <t>Y40</t>
  </si>
  <si>
    <t>Y41</t>
  </si>
  <si>
    <t>Y42</t>
  </si>
  <si>
    <t>Y43</t>
  </si>
  <si>
    <t>Y44</t>
  </si>
  <si>
    <t>Y45</t>
  </si>
  <si>
    <t>Y46</t>
  </si>
  <si>
    <t>Y47</t>
  </si>
  <si>
    <t>Y48</t>
  </si>
  <si>
    <t>Y49</t>
  </si>
  <si>
    <t>Y50</t>
  </si>
  <si>
    <t>Y</t>
  </si>
  <si>
    <t>intercept</t>
  </si>
  <si>
    <t>slope</t>
  </si>
  <si>
    <t>number</t>
  </si>
  <si>
    <t>lower limit</t>
  </si>
  <si>
    <t>upper limit</t>
  </si>
  <si>
    <t>mid point</t>
  </si>
  <si>
    <t>frequency</t>
  </si>
  <si>
    <t>MEAN</t>
  </si>
  <si>
    <t>STANDARD DEVIATION</t>
  </si>
  <si>
    <t>MAX</t>
  </si>
  <si>
    <t>MIN</t>
  </si>
  <si>
    <t>RANGE</t>
  </si>
  <si>
    <t>INTERVAL WIDTH</t>
  </si>
  <si>
    <t xml:space="preserve"> </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</si>
  <si>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</si>
  <si>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</si>
  <si>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</si>
  <si>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</si>
  <si>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</si>
  <si>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</si>
  <si>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</si>
  <si>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</si>
  <si>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</si>
  <si>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</si>
  <si>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</si>
  <si>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</si>
  <si>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</si>
  <si>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</si>
  <si>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</si>
  <si>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</si>
  <si>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</si>
  <si>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</si>
  <si>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</si>
  <si>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</si>
  <si>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</si>
  <si>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Intercept</t>
  </si>
  <si>
    <t>Slope</t>
  </si>
  <si>
    <t>Econometric Regression Analysis using Microsoft Excel</t>
  </si>
  <si>
    <t>Project Objective</t>
  </si>
  <si>
    <t>The objective of this project is to examine the relationship between selected independent variables and multiple dependent variables using regression analysis, and to observe how estimated coefficients behave across repeated model specifications.</t>
  </si>
  <si>
    <t>Data Description</t>
  </si>
  <si>
    <t>The dataset consists of simulated numerical variables used for econometric analysis.</t>
  </si>
  <si>
    <t>One primary independent variable and one control variable are analyzed against multiple dependent variables to study variations in regression outcomes across different models.</t>
  </si>
  <si>
    <t>Methodology</t>
  </si>
  <si>
    <t>Multiple linear regression analysis was performed using the Regression tool available in Microsoft Excel’s Data Analysis ToolPak.</t>
  </si>
  <si>
    <t>Each regression model estimates the effect of the independent variables on a dependent variable, and the resulting coefficients are compared across multiple iterations to identify patterns and consistency in relationships.</t>
  </si>
  <si>
    <t>Key Observations</t>
  </si>
  <si>
    <t>The regression coefficients of the main independent variable show a consistent directional relationship with the dependent variables across multiple model estimations.</t>
  </si>
  <si>
    <t>Variations in coefficient magnitude are observed across different dependent variables, indicating sensitivity to model specification.</t>
  </si>
  <si>
    <t>The control variable contributes to explaining changes in the dependent variables alongside the primary predictor</t>
  </si>
  <si>
    <t>Interpretation</t>
  </si>
  <si>
    <t>The results suggest that regression analysis is an effective method for identifying and comparing relationships between variables.</t>
  </si>
  <si>
    <t>Consistency in coefficient signs across models indicates stable relationships, while variations in magnitude highlight differences in dependent variable behavior.</t>
  </si>
  <si>
    <t>Limitations</t>
  </si>
  <si>
    <t>The analysis is based on simulated data rather than real-world observations.</t>
  </si>
  <si>
    <t>External economic factors are not incorporated into the models.</t>
  </si>
  <si>
    <t>Results are intended for academic interpretation rather than direct business application.</t>
  </si>
  <si>
    <t>Conclusion</t>
  </si>
  <si>
    <t>This project demonstrates the application of econometric regression techniques using Excel to analyze relationships between variables and interpret statistical outcomes across multiple models. The exercise strengthens understanding of regression analysis, coefficient interpretation, and comparative model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</si>
</sst>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8">
    <font>
      <sz val="11"/>
      <color theme="1"/>
      <name val="Aptos Narrow"/>
      <scheme val="minor"/>
    </font>
    <font>
      <b/>
      <sz val="11"/>
      <color theme="1"/>
      <name val="Aptos Narrow"/>
      <scheme val="minor"/>
    </font>
    <font>
      <b/>
      <sz val="11"/>
      <color theme="1"/>
      <name val="Aptos Narrow"/>
    </font>
    <font>
      <sz val="11"/>
      <color theme="1"/>
      <name val="Aptos Narrow"/>
      <scheme val="minor"/>
    </font>
    <font>
      <sz val="11"/>
      <color theme="1"/>
      <name val="Aptos Narrow"/>
    </font>
    <font>
      <b/>
      <sz val="11"/>
      <color theme="1"/>
      <name val="Arial"/>
    </font>
    <font>
      <sz val="11"/>
      <color theme="1"/>
      <name val="Arial"/>
    </font>
    <font>
      <i/>
      <sz val="11"/>
      <color theme="1"/>
      <name val="Aptos Narrow"/>
      <scheme val="minor"/>
    </font>
  </fonts>
  <fills count="3">
    <fill>
      <patternFill patternType="none"/>
    </fill>
    <fill>
      <patternFill patternType="gray125"/>
    </fill>
    <fill>
      <patternFill patternType="solid">
        <fgColor rgb="FFFFE599"/>
        <bgColor rgb="FFFFE599"/>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23">
    <xf numFmtId="0" fontId="0" fillId="0" borderId="0" xfId="0" applyFont="1" applyAlignment="1"/>
    <xf numFmtId="0" fontId="1" fillId="0" borderId="0" xfId="0" applyFont="1"/>
    <xf numFmtId="164" fontId="2" fillId="0" borderId="0" xfId="0" applyNumberFormat="1" applyFont="1"/>
    <xf numFmtId="0" fontId="3" fillId="0" borderId="0" xfId="0" applyFont="1"/>
    <xf numFmtId="164" fontId="4" fillId="0" borderId="0" xfId="0" applyNumberFormat="1" applyFont="1"/>
    <xf numFmtId="0" fontId="5" fillId="0" borderId="0" xfId="0" applyFont="1" applyAlignment="1"/>
    <xf numFmtId="0" fontId="5" fillId="0" borderId="1" xfId="0" applyFont="1" applyBorder="1" applyAlignment="1"/>
    <xf numFmtId="0" fontId="6" fillId="0" borderId="0" xfId="0" applyFont="1" applyAlignment="1"/>
    <xf numFmtId="0" fontId="6" fillId="0" borderId="1" xfId="0" applyFont="1" applyBorder="1" applyAlignment="1"/>
    <xf numFmtId="0" fontId="3" fillId="0" borderId="1" xfId="0" applyFont="1" applyBorder="1" applyAlignment="1"/>
    <xf numFmtId="0" fontId="5" fillId="2" borderId="0" xfId="0" applyFont="1" applyFill="1" applyAlignment="1"/>
    <xf numFmtId="0" fontId="3" fillId="0" borderId="1" xfId="0" applyFont="1" applyBorder="1"/>
    <xf numFmtId="0" fontId="3" fillId="0" borderId="0" xfId="0" applyFont="1" applyAlignment="1"/>
    <xf numFmtId="0" fontId="3" fillId="0" borderId="0" xfId="0" applyFont="1" applyAlignment="1"/>
    <xf numFmtId="0" fontId="7" fillId="0" borderId="2" xfId="0" applyFont="1" applyBorder="1" applyAlignment="1">
      <alignment horizontal="center"/>
    </xf>
    <xf numFmtId="0" fontId="7" fillId="0" borderId="2" xfId="0" applyFont="1" applyBorder="1" applyAlignment="1">
      <alignment horizontal="center"/>
    </xf>
    <xf numFmtId="0" fontId="3" fillId="0" borderId="3" xfId="0" applyFont="1" applyBorder="1" applyAlignment="1"/>
    <xf numFmtId="0" fontId="3" fillId="0" borderId="3" xfId="0" applyFont="1" applyBorder="1" applyAlignment="1"/>
    <xf numFmtId="0" fontId="3" fillId="0" borderId="3" xfId="0" applyFont="1" applyBorder="1"/>
    <xf numFmtId="0" fontId="6" fillId="0" borderId="3" xfId="0" applyFont="1" applyBorder="1" applyAlignment="1"/>
    <xf numFmtId="0" fontId="1" fillId="0" borderId="0" xfId="0" applyFont="1" applyAlignment="1"/>
    <xf numFmtId="0" fontId="1" fillId="0" borderId="0" xfId="0" applyFont="1" applyAlignment="1">
      <alignment vertical="center"/>
    </xf>
    <xf numFmtId="0" fontId="0"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Coefficients!$M$1</c:f>
              <c:strCache>
                <c:ptCount val="1"/>
                <c:pt idx="0">
                  <c:v>frequency</c:v>
                </c:pt>
              </c:strCache>
            </c:strRef>
          </c:tx>
          <c:spPr>
            <a:solidFill>
              <a:schemeClr val="accent1"/>
            </a:solidFill>
            <a:ln cmpd="sng">
              <a:solidFill>
                <a:srgbClr val="000000"/>
              </a:solidFill>
            </a:ln>
          </c:spPr>
          <c:invertIfNegative val="1"/>
          <c:cat>
            <c:numRef>
              <c:f>Coefficients!$L$2:$L$11</c:f>
              <c:numCache>
                <c:formatCode>General</c:formatCode>
                <c:ptCount val="10"/>
                <c:pt idx="0">
                  <c:v>1.9845790904428438</c:v>
                </c:pt>
                <c:pt idx="1">
                  <c:v>1.9878810370839586</c:v>
                </c:pt>
                <c:pt idx="2">
                  <c:v>1.9911829837250734</c:v>
                </c:pt>
                <c:pt idx="3">
                  <c:v>1.9944849303661882</c:v>
                </c:pt>
                <c:pt idx="4">
                  <c:v>1.9977868770073031</c:v>
                </c:pt>
                <c:pt idx="5">
                  <c:v>2.0010888236484181</c:v>
                </c:pt>
                <c:pt idx="6">
                  <c:v>2.0043907702895325</c:v>
                </c:pt>
                <c:pt idx="7">
                  <c:v>2.0076927169306478</c:v>
                </c:pt>
                <c:pt idx="8">
                  <c:v>2.0109946635717622</c:v>
                </c:pt>
                <c:pt idx="9">
                  <c:v>2.0142966102128774</c:v>
                </c:pt>
              </c:numCache>
            </c:numRef>
          </c:cat>
          <c:val>
            <c:numRef>
              <c:f>Coefficients!$M$2:$M$11</c:f>
              <c:numCache>
                <c:formatCode>General</c:formatCode>
                <c:ptCount val="10"/>
                <c:pt idx="0">
                  <c:v>2</c:v>
                </c:pt>
                <c:pt idx="1">
                  <c:v>1</c:v>
                </c:pt>
                <c:pt idx="2">
                  <c:v>5</c:v>
                </c:pt>
                <c:pt idx="3">
                  <c:v>3</c:v>
                </c:pt>
                <c:pt idx="4">
                  <c:v>9</c:v>
                </c:pt>
                <c:pt idx="5">
                  <c:v>10</c:v>
                </c:pt>
                <c:pt idx="6">
                  <c:v>4</c:v>
                </c:pt>
                <c:pt idx="7">
                  <c:v>5</c:v>
                </c:pt>
                <c:pt idx="8">
                  <c:v>2</c:v>
                </c:pt>
                <c:pt idx="9">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1ED-44A4-8BF4-D07724492E65}"/>
            </c:ext>
          </c:extLst>
        </c:ser>
        <c:dLbls>
          <c:showLegendKey val="0"/>
          <c:showVal val="0"/>
          <c:showCatName val="0"/>
          <c:showSerName val="0"/>
          <c:showPercent val="0"/>
          <c:showBubbleSize val="0"/>
        </c:dLbls>
        <c:gapWidth val="150"/>
        <c:axId val="1207979221"/>
        <c:axId val="1130099235"/>
      </c:barChart>
      <c:catAx>
        <c:axId val="12079792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MID POINT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30099235"/>
        <c:crosses val="autoZero"/>
        <c:auto val="1"/>
        <c:lblAlgn val="ctr"/>
        <c:lblOffset val="100"/>
        <c:noMultiLvlLbl val="1"/>
      </c:catAx>
      <c:valAx>
        <c:axId val="11300992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frequency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0797922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304800</xdr:colOff>
      <xdr:row>12</xdr:row>
      <xdr:rowOff>9525</xdr:rowOff>
    </xdr:from>
    <xdr:ext cx="5076825" cy="3143250"/>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F32" sqref="F32"/>
    </sheetView>
  </sheetViews>
  <sheetFormatPr defaultRowHeight="14"/>
  <sheetData>
    <row r="1" spans="1:5">
      <c r="E1" s="20" t="s">
        <v>140</v>
      </c>
    </row>
    <row r="3" spans="1:5">
      <c r="A3" s="21" t="s">
        <v>141</v>
      </c>
    </row>
    <row r="4" spans="1:5">
      <c r="A4" t="s">
        <v>142</v>
      </c>
    </row>
    <row r="6" spans="1:5">
      <c r="A6" s="21" t="s">
        <v>143</v>
      </c>
    </row>
    <row r="7" spans="1:5">
      <c r="A7" t="s">
        <v>144</v>
      </c>
    </row>
    <row r="8" spans="1:5">
      <c r="A8" t="s">
        <v>145</v>
      </c>
    </row>
    <row r="10" spans="1:5">
      <c r="A10" s="21" t="s">
        <v>146</v>
      </c>
    </row>
    <row r="11" spans="1:5">
      <c r="A11" t="s">
        <v>147</v>
      </c>
    </row>
    <row r="12" spans="1:5">
      <c r="A12" t="s">
        <v>148</v>
      </c>
    </row>
    <row r="14" spans="1:5">
      <c r="A14" s="21" t="s">
        <v>149</v>
      </c>
    </row>
    <row r="15" spans="1:5">
      <c r="A15" s="22" t="s">
        <v>150</v>
      </c>
    </row>
    <row r="16" spans="1:5">
      <c r="A16" s="22" t="s">
        <v>151</v>
      </c>
    </row>
    <row r="17" spans="1:1">
      <c r="A17" s="22" t="s">
        <v>152</v>
      </c>
    </row>
    <row r="19" spans="1:1">
      <c r="A19" s="21" t="s">
        <v>153</v>
      </c>
    </row>
    <row r="20" spans="1:1">
      <c r="A20" t="s">
        <v>154</v>
      </c>
    </row>
    <row r="21" spans="1:1">
      <c r="A21" t="s">
        <v>155</v>
      </c>
    </row>
    <row r="23" spans="1:1">
      <c r="A23" s="21" t="s">
        <v>156</v>
      </c>
    </row>
    <row r="24" spans="1:1">
      <c r="A24" s="22" t="s">
        <v>157</v>
      </c>
    </row>
    <row r="25" spans="1:1">
      <c r="A25" s="22" t="s">
        <v>158</v>
      </c>
    </row>
    <row r="26" spans="1:1">
      <c r="A26" s="22" t="s">
        <v>159</v>
      </c>
    </row>
    <row r="28" spans="1:1">
      <c r="A28" s="21" t="s">
        <v>160</v>
      </c>
    </row>
    <row r="29" spans="1:1">
      <c r="A29" t="s">
        <v>161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000"/>
  <sheetViews>
    <sheetView tabSelected="1" workbookViewId="0">
      <selection activeCell="C19" sqref="C19"/>
    </sheetView>
  </sheetViews>
  <sheetFormatPr defaultColWidth="12.6640625" defaultRowHeight="15" customHeight="1"/>
  <cols>
    <col min="1" max="1" width="8.6640625" customWidth="1"/>
    <col min="2" max="2" width="10" customWidth="1"/>
    <col min="3" max="3" width="10.75" customWidth="1"/>
    <col min="4" max="27" width="11.1640625" customWidth="1"/>
    <col min="28" max="28" width="8.6640625" customWidth="1"/>
    <col min="29" max="52" width="11.1640625" customWidth="1"/>
  </cols>
  <sheetData>
    <row r="1" spans="1:52" ht="14">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row>
    <row r="2" spans="1:52" ht="14">
      <c r="A2" s="3">
        <v>7</v>
      </c>
      <c r="B2" s="3">
        <v>26</v>
      </c>
      <c r="C2" s="4">
        <v>-0.74501679340133997</v>
      </c>
      <c r="D2" s="4">
        <v>1.5453438422112824</v>
      </c>
      <c r="E2" s="4">
        <v>0.68123065680575534</v>
      </c>
      <c r="F2" s="4">
        <v>-4.0062305798826969E-3</v>
      </c>
      <c r="G2" s="4">
        <v>0.72003577252282125</v>
      </c>
      <c r="H2" s="4">
        <v>0.73820227292835228</v>
      </c>
      <c r="I2" s="4">
        <v>-0.53727184540676698</v>
      </c>
      <c r="J2" s="4">
        <v>1.5055912569466323</v>
      </c>
      <c r="K2" s="4">
        <v>1.5063248939015215</v>
      </c>
      <c r="L2" s="4">
        <v>-0.8860624583688671</v>
      </c>
      <c r="M2" s="4">
        <v>1.8488409971821773</v>
      </c>
      <c r="N2" s="4">
        <v>1.4187301293612182</v>
      </c>
      <c r="O2" s="4">
        <v>1.2391946012542374</v>
      </c>
      <c r="P2" s="4">
        <v>4.5361092570151862E-2</v>
      </c>
      <c r="Q2" s="4">
        <v>1.8768176082760719</v>
      </c>
      <c r="R2" s="4">
        <v>-0.40190385752843583</v>
      </c>
      <c r="S2" s="4">
        <v>-0.12340875139574292</v>
      </c>
      <c r="T2" s="4">
        <v>0.99635417103106938</v>
      </c>
      <c r="U2" s="4">
        <v>-0.47101735459048699</v>
      </c>
      <c r="V2" s="4">
        <v>-0.87704257691918064</v>
      </c>
      <c r="W2" s="4">
        <v>-0.9067325748816345</v>
      </c>
      <c r="X2" s="4">
        <v>9.8897031087962661E-2</v>
      </c>
      <c r="Y2" s="4">
        <v>-0.33651968033689716</v>
      </c>
      <c r="Z2" s="4">
        <v>-0.77720844740257067</v>
      </c>
      <c r="AA2" s="4">
        <v>1.5422442061203721</v>
      </c>
      <c r="AB2" s="4">
        <v>-6.9401408248029761E-2</v>
      </c>
      <c r="AC2" s="4">
        <v>-0.45311471952136606</v>
      </c>
      <c r="AD2" s="4">
        <v>-0.95772732086497592</v>
      </c>
      <c r="AE2" s="4">
        <v>-0.24474964022452195</v>
      </c>
      <c r="AF2" s="4">
        <v>-0.93305449107909022</v>
      </c>
      <c r="AG2" s="4">
        <v>0.375399832745826</v>
      </c>
      <c r="AH2" s="4">
        <v>-0.56316298357699146</v>
      </c>
      <c r="AI2" s="4">
        <v>1.693857472194487</v>
      </c>
      <c r="AJ2" s="4">
        <v>-0.76751099158799763</v>
      </c>
      <c r="AK2" s="4">
        <v>-0.57864340021612715</v>
      </c>
      <c r="AL2" s="4">
        <v>-0.75195419317046608</v>
      </c>
      <c r="AM2" s="4">
        <v>0.21302949549615002</v>
      </c>
      <c r="AN2" s="4">
        <v>1.1251886635501549</v>
      </c>
      <c r="AO2" s="4">
        <v>1.6917447809908697</v>
      </c>
      <c r="AP2" s="4">
        <v>0.75796450169827012</v>
      </c>
      <c r="AQ2" s="4">
        <v>0.9488057039283917</v>
      </c>
      <c r="AR2" s="4">
        <v>-0.76186857465896829</v>
      </c>
      <c r="AS2" s="4">
        <v>-0.76452062144530009</v>
      </c>
      <c r="AT2" s="4">
        <v>0.27177660300130613</v>
      </c>
      <c r="AU2" s="4">
        <v>1.3918356743454154</v>
      </c>
      <c r="AV2" s="4">
        <v>1.2528452004600732</v>
      </c>
      <c r="AW2" s="4">
        <v>1.4861315792513528</v>
      </c>
      <c r="AX2" s="4">
        <v>1.0278512994892106</v>
      </c>
      <c r="AY2" s="4">
        <v>-0.84151499953004893</v>
      </c>
      <c r="AZ2" s="4">
        <v>-0.17157485647433712</v>
      </c>
    </row>
    <row r="3" spans="1:52" ht="14">
      <c r="A3" s="3">
        <v>14</v>
      </c>
      <c r="B3" s="3">
        <v>40</v>
      </c>
      <c r="C3" s="4">
        <v>1.9885229760454948</v>
      </c>
      <c r="D3" s="4">
        <v>1.4566120183058739</v>
      </c>
      <c r="E3" s="4">
        <v>-0.17584055993778402</v>
      </c>
      <c r="F3" s="4">
        <v>1.1015079672865062</v>
      </c>
      <c r="G3" s="4">
        <v>1.1994957689632471</v>
      </c>
      <c r="H3" s="4">
        <v>0.11660575456600786</v>
      </c>
      <c r="I3" s="4">
        <v>1.4300794525080371</v>
      </c>
      <c r="J3" s="4">
        <v>0.55858116664043311</v>
      </c>
      <c r="K3" s="4">
        <v>1.5771266119040779</v>
      </c>
      <c r="L3" s="4">
        <v>0.25301084084119208</v>
      </c>
      <c r="M3" s="4">
        <v>-0.87323802771056702</v>
      </c>
      <c r="N3" s="4">
        <v>-0.75102915220814992</v>
      </c>
      <c r="O3" s="4">
        <v>-0.11166617377987109</v>
      </c>
      <c r="P3" s="4">
        <v>1.6064035118658224</v>
      </c>
      <c r="Q3" s="4">
        <v>1.4302552601400687</v>
      </c>
      <c r="R3" s="4">
        <v>0.99730150923115968</v>
      </c>
      <c r="S3" s="4">
        <v>0.97045515835627205</v>
      </c>
      <c r="T3" s="4">
        <v>0.37226525343473638</v>
      </c>
      <c r="U3" s="4">
        <v>1.8309056761695814</v>
      </c>
      <c r="V3" s="4">
        <v>-0.19175212169276257</v>
      </c>
      <c r="W3" s="4">
        <v>1.3518255401078836</v>
      </c>
      <c r="X3" s="4">
        <v>0.61130992441958332</v>
      </c>
      <c r="Y3" s="4">
        <v>1.5410411953148515</v>
      </c>
      <c r="Z3" s="4">
        <v>-0.20003640967318903</v>
      </c>
      <c r="AA3" s="4">
        <v>0.70762102940517846</v>
      </c>
      <c r="AB3" s="4">
        <v>0.24019391478070251</v>
      </c>
      <c r="AC3" s="4">
        <v>0.89628034720507721</v>
      </c>
      <c r="AD3" s="4">
        <v>0.94250276267515298</v>
      </c>
      <c r="AE3" s="4">
        <v>1.1001875991438468</v>
      </c>
      <c r="AF3" s="4">
        <v>0.36432849231331876</v>
      </c>
      <c r="AG3" s="4">
        <v>0.98468557764858888</v>
      </c>
      <c r="AH3" s="4">
        <v>0.98795273939102901</v>
      </c>
      <c r="AI3" s="4">
        <v>1.2030735347139996</v>
      </c>
      <c r="AJ3" s="4">
        <v>0.96451292834802371</v>
      </c>
      <c r="AK3" s="4">
        <v>-0.67202056337181837</v>
      </c>
      <c r="AL3" s="4">
        <v>1.2289972688307695</v>
      </c>
      <c r="AM3" s="4">
        <v>-4.2015795395288658E-2</v>
      </c>
      <c r="AN3" s="4">
        <v>-0.80089292914338872</v>
      </c>
      <c r="AO3" s="4">
        <v>1.6890425527599984</v>
      </c>
      <c r="AP3" s="4">
        <v>-2.7371721904300594E-2</v>
      </c>
      <c r="AQ3" s="4">
        <v>1.3638779274832586</v>
      </c>
      <c r="AR3" s="4">
        <v>-0.16653753072670119</v>
      </c>
      <c r="AS3" s="4">
        <v>-0.67008794012693795</v>
      </c>
      <c r="AT3" s="4">
        <v>1.8657256931223065</v>
      </c>
      <c r="AU3" s="4">
        <v>0.34742173737925464</v>
      </c>
      <c r="AV3" s="4">
        <v>1.5583302202935005</v>
      </c>
      <c r="AW3" s="4">
        <v>1.2944993984115909</v>
      </c>
      <c r="AX3" s="4">
        <v>1.4592234308564809</v>
      </c>
      <c r="AY3" s="4">
        <v>0.91402570331754684</v>
      </c>
      <c r="AZ3" s="4">
        <v>0.20896484012586258</v>
      </c>
    </row>
    <row r="4" spans="1:52" ht="14">
      <c r="A4" s="3">
        <v>21</v>
      </c>
      <c r="B4" s="3">
        <v>54</v>
      </c>
      <c r="C4" s="4">
        <v>0.68380256002234663</v>
      </c>
      <c r="D4" s="4">
        <v>0.93867803104186731</v>
      </c>
      <c r="E4" s="4">
        <v>7.9432165546876821E-2</v>
      </c>
      <c r="F4" s="4">
        <v>1.5626655455175502</v>
      </c>
      <c r="G4" s="4">
        <v>0.86242138110896316</v>
      </c>
      <c r="H4" s="4">
        <v>-0.70721924248807932</v>
      </c>
      <c r="I4" s="4">
        <v>1.8839470431722356</v>
      </c>
      <c r="J4" s="4">
        <v>1.4983795324682854</v>
      </c>
      <c r="K4" s="4">
        <v>4.3546629403534709E-3</v>
      </c>
      <c r="L4" s="4">
        <v>-0.94359336166830632</v>
      </c>
      <c r="M4" s="4">
        <v>0.38594052881438956</v>
      </c>
      <c r="N4" s="4">
        <v>-0.57670229708424825</v>
      </c>
      <c r="O4" s="4">
        <v>-0.83105251969705063</v>
      </c>
      <c r="P4" s="4">
        <v>-0.95758873622668761</v>
      </c>
      <c r="Q4" s="4">
        <v>1.6710031303988453</v>
      </c>
      <c r="R4" s="4">
        <v>0.36637978301512353</v>
      </c>
      <c r="S4" s="4">
        <v>0.1769864332795279</v>
      </c>
      <c r="T4" s="4">
        <v>-0.37759959693575418</v>
      </c>
      <c r="U4" s="4">
        <v>0.40681645175652437</v>
      </c>
      <c r="V4" s="4">
        <v>0.89086978761686508</v>
      </c>
      <c r="W4" s="4">
        <v>-0.1370849347790063</v>
      </c>
      <c r="X4" s="4">
        <v>0.10389976407910229</v>
      </c>
      <c r="Y4" s="4">
        <v>1.4671032633151715</v>
      </c>
      <c r="Z4" s="4">
        <v>0.20013368602247339</v>
      </c>
      <c r="AA4" s="4">
        <v>1.1984481610692428</v>
      </c>
      <c r="AB4" s="4">
        <v>1.8959155593991404</v>
      </c>
      <c r="AC4" s="4">
        <v>1.8390859014543901</v>
      </c>
      <c r="AD4" s="4">
        <v>1.3502477661956926</v>
      </c>
      <c r="AE4" s="4">
        <v>1.4243037192793975</v>
      </c>
      <c r="AF4" s="4">
        <v>0.4121051125033659</v>
      </c>
      <c r="AG4" s="4">
        <v>0.57617143400737636</v>
      </c>
      <c r="AH4" s="4">
        <v>0.1435562177999774</v>
      </c>
      <c r="AI4" s="4">
        <v>1.5767713794138358</v>
      </c>
      <c r="AJ4" s="4">
        <v>0.91077613063276497</v>
      </c>
      <c r="AK4" s="4">
        <v>0.80758298679202623</v>
      </c>
      <c r="AL4" s="4">
        <v>1.5274165922687226</v>
      </c>
      <c r="AM4" s="4">
        <v>1.0458360614034019</v>
      </c>
      <c r="AN4" s="4">
        <v>1.7209332298910316</v>
      </c>
      <c r="AO4" s="4">
        <v>-0.9333446666216435</v>
      </c>
      <c r="AP4" s="4">
        <v>-0.42764784053205873</v>
      </c>
      <c r="AQ4" s="4">
        <v>-0.94842464732093845</v>
      </c>
      <c r="AR4" s="4">
        <v>-0.44640938520517703</v>
      </c>
      <c r="AS4" s="4">
        <v>1.449514016315046</v>
      </c>
      <c r="AT4" s="4">
        <v>-0.64617035220545183</v>
      </c>
      <c r="AU4" s="4">
        <v>-0.82445020594983753</v>
      </c>
      <c r="AV4" s="4">
        <v>1.8475695499909639</v>
      </c>
      <c r="AW4" s="4">
        <v>0.36585627338539184</v>
      </c>
      <c r="AX4" s="4">
        <v>-0.68811882879690089</v>
      </c>
      <c r="AY4" s="4">
        <v>0.33390451857617265</v>
      </c>
      <c r="AZ4" s="4">
        <v>-0.65100037678881628</v>
      </c>
    </row>
    <row r="5" spans="1:52" ht="14">
      <c r="A5" s="3">
        <v>28</v>
      </c>
      <c r="B5" s="3">
        <v>68</v>
      </c>
      <c r="C5" s="4">
        <v>-0.22926504220435429</v>
      </c>
      <c r="D5" s="4">
        <v>1.5301867152173863</v>
      </c>
      <c r="E5" s="4">
        <v>1.0721637092877683</v>
      </c>
      <c r="F5" s="4">
        <v>0.93233180614097466</v>
      </c>
      <c r="G5" s="4">
        <v>-8.9077667095685875E-2</v>
      </c>
      <c r="H5" s="4">
        <v>0.90471551554058338</v>
      </c>
      <c r="I5" s="4">
        <v>1.4042390125722928</v>
      </c>
      <c r="J5" s="4">
        <v>1.538950820047045</v>
      </c>
      <c r="K5" s="4">
        <v>0.75656427067657472</v>
      </c>
      <c r="L5" s="4">
        <v>0.72556023086162813</v>
      </c>
      <c r="M5" s="4">
        <v>-0.54904801131106007</v>
      </c>
      <c r="N5" s="4">
        <v>0.66302820258285855</v>
      </c>
      <c r="O5" s="4">
        <v>1.4694827451120012</v>
      </c>
      <c r="P5" s="4">
        <v>-8.2696188621880551E-2</v>
      </c>
      <c r="Q5" s="4">
        <v>0.27817248246778836</v>
      </c>
      <c r="R5" s="4">
        <v>-0.49208045832417691</v>
      </c>
      <c r="S5" s="4">
        <v>0.81669248450318233</v>
      </c>
      <c r="T5" s="4">
        <v>-0.32635023002860808</v>
      </c>
      <c r="U5" s="4">
        <v>0.83185926730914106</v>
      </c>
      <c r="V5" s="4">
        <v>0.24114024231388353</v>
      </c>
      <c r="W5" s="4">
        <v>-0.4137637081621407</v>
      </c>
      <c r="X5" s="4">
        <v>-0.1158019698895304</v>
      </c>
      <c r="Y5" s="4">
        <v>-0.7406786511073955</v>
      </c>
      <c r="Z5" s="4">
        <v>-0.98056146246993592</v>
      </c>
      <c r="AA5" s="4">
        <v>-0.76132276009257116</v>
      </c>
      <c r="AB5" s="4">
        <v>-0.3642551202800054</v>
      </c>
      <c r="AC5" s="4">
        <v>0.97199555046122632</v>
      </c>
      <c r="AD5" s="4">
        <v>-0.99949813260098175</v>
      </c>
      <c r="AE5" s="4">
        <v>0.11846624286613761</v>
      </c>
      <c r="AF5" s="4">
        <v>1.9248254219290686</v>
      </c>
      <c r="AG5" s="4">
        <v>0.39895889818882546</v>
      </c>
      <c r="AH5" s="4">
        <v>1.103015301947234</v>
      </c>
      <c r="AI5" s="4">
        <v>1.7994038673384514</v>
      </c>
      <c r="AJ5" s="4">
        <v>-3.1782397203346635E-2</v>
      </c>
      <c r="AK5" s="4">
        <v>0.6303945821836765</v>
      </c>
      <c r="AL5" s="4">
        <v>1.5267907025049943</v>
      </c>
      <c r="AM5" s="4">
        <v>1.3884152349962158</v>
      </c>
      <c r="AN5" s="4">
        <v>-0.25187368131082088</v>
      </c>
      <c r="AO5" s="4">
        <v>0.40023039161629237</v>
      </c>
      <c r="AP5" s="4">
        <v>1.2946854985674148</v>
      </c>
      <c r="AQ5" s="4">
        <v>0.86185655932812633</v>
      </c>
      <c r="AR5" s="4">
        <v>1.6787664673391673</v>
      </c>
      <c r="AS5" s="4">
        <v>0.10716801954485677</v>
      </c>
      <c r="AT5" s="4">
        <v>-0.67197023275791956</v>
      </c>
      <c r="AU5" s="4">
        <v>-0.24142780912513517</v>
      </c>
      <c r="AV5" s="4">
        <v>0.5310636613273555</v>
      </c>
      <c r="AW5" s="4">
        <v>1.823322635114951</v>
      </c>
      <c r="AX5" s="4">
        <v>0.8172802911849244</v>
      </c>
      <c r="AY5" s="4">
        <v>-0.19607907028074234</v>
      </c>
      <c r="AZ5" s="4">
        <v>-0.99780852453228852</v>
      </c>
    </row>
    <row r="6" spans="1:52" ht="14">
      <c r="A6" s="3">
        <v>35</v>
      </c>
      <c r="B6" s="3">
        <v>82</v>
      </c>
      <c r="C6" s="4">
        <v>7.9815311352897211E-2</v>
      </c>
      <c r="D6" s="4">
        <v>1.1646511300929521</v>
      </c>
      <c r="E6" s="4">
        <v>1.4249632723399435</v>
      </c>
      <c r="F6" s="4">
        <v>-1.6465132722449094E-2</v>
      </c>
      <c r="G6" s="4">
        <v>0.77484070613429079</v>
      </c>
      <c r="H6" s="4">
        <v>1.5787013407457131</v>
      </c>
      <c r="I6" s="4">
        <v>0.73342403391743327</v>
      </c>
      <c r="J6" s="4">
        <v>4.8510301349032336E-2</v>
      </c>
      <c r="K6" s="4">
        <v>0.29597609958477822</v>
      </c>
      <c r="L6" s="4">
        <v>-0.56208576096329876</v>
      </c>
      <c r="M6" s="4">
        <v>0.37288715577673848</v>
      </c>
      <c r="N6" s="4">
        <v>1.3037027252880273</v>
      </c>
      <c r="O6" s="4">
        <v>-0.13539291021384658</v>
      </c>
      <c r="P6" s="4">
        <v>-0.66069352482777588</v>
      </c>
      <c r="Q6" s="4">
        <v>1.7667642047094683</v>
      </c>
      <c r="R6" s="4">
        <v>-0.49445799427270465</v>
      </c>
      <c r="S6" s="4">
        <v>-0.88242599147759537</v>
      </c>
      <c r="T6" s="4">
        <v>-0.13144010884866297</v>
      </c>
      <c r="U6" s="4">
        <v>2.6399038089652493E-2</v>
      </c>
      <c r="V6" s="4">
        <v>1.6948934038401982</v>
      </c>
      <c r="W6" s="4">
        <v>-0.45717155808415511</v>
      </c>
      <c r="X6" s="4">
        <v>-0.70411388210050685</v>
      </c>
      <c r="Y6" s="4">
        <v>-0.2600956435499735</v>
      </c>
      <c r="Z6" s="4">
        <v>1.64991069780722</v>
      </c>
      <c r="AA6" s="4">
        <v>1.0931292776310135</v>
      </c>
      <c r="AB6" s="4">
        <v>1.9606731423362909</v>
      </c>
      <c r="AC6" s="4">
        <v>-0.96135296370778034</v>
      </c>
      <c r="AD6" s="4">
        <v>3.3530555425412167E-2</v>
      </c>
      <c r="AE6" s="4">
        <v>1.4894971892412872</v>
      </c>
      <c r="AF6" s="4">
        <v>0.669132092801905</v>
      </c>
      <c r="AG6" s="4">
        <v>-0.92189872520228178</v>
      </c>
      <c r="AH6" s="4">
        <v>0.1848267051712138</v>
      </c>
      <c r="AI6" s="4">
        <v>0.97614605484591466</v>
      </c>
      <c r="AJ6" s="4">
        <v>-0.32083659603708858</v>
      </c>
      <c r="AK6" s="4">
        <v>1.3197880453899618</v>
      </c>
      <c r="AL6" s="4">
        <v>1.7534426812698127</v>
      </c>
      <c r="AM6" s="4">
        <v>1.5386101385760202</v>
      </c>
      <c r="AN6" s="4">
        <v>1.096660944898217</v>
      </c>
      <c r="AO6" s="4">
        <v>-0.74898017124078264</v>
      </c>
      <c r="AP6" s="4">
        <v>0.62632201145646771</v>
      </c>
      <c r="AQ6" s="4">
        <v>-0.15321398363496341</v>
      </c>
      <c r="AR6" s="4">
        <v>0.75747296601199987</v>
      </c>
      <c r="AS6" s="4">
        <v>-0.57083081464418273</v>
      </c>
      <c r="AT6" s="4">
        <v>-0.15404550367691505</v>
      </c>
      <c r="AU6" s="4">
        <v>0.4346075903343678</v>
      </c>
      <c r="AV6" s="4">
        <v>1.9192383218145028</v>
      </c>
      <c r="AW6" s="4">
        <v>1.9871800371058574</v>
      </c>
      <c r="AX6" s="4">
        <v>0.46935735207792006</v>
      </c>
      <c r="AY6" s="4">
        <v>0.8780732700272923</v>
      </c>
      <c r="AZ6" s="4">
        <v>0.33731717539487205</v>
      </c>
    </row>
    <row r="7" spans="1:52" ht="14">
      <c r="A7" s="3">
        <v>42</v>
      </c>
      <c r="B7" s="3">
        <v>96</v>
      </c>
      <c r="C7" s="4">
        <v>-9.2697925058456754E-2</v>
      </c>
      <c r="D7" s="4">
        <v>-0.34088088182281506</v>
      </c>
      <c r="E7" s="4">
        <v>0.76209047397892105</v>
      </c>
      <c r="F7" s="4">
        <v>1.6707666918490243</v>
      </c>
      <c r="G7" s="4">
        <v>-0.96725371790212955</v>
      </c>
      <c r="H7" s="4">
        <v>-0.93579938912877536</v>
      </c>
      <c r="I7" s="4">
        <v>-0.62056902515243928</v>
      </c>
      <c r="J7" s="4">
        <v>1.0086900311511471</v>
      </c>
      <c r="K7" s="4">
        <v>1.0141793461131914</v>
      </c>
      <c r="L7" s="4">
        <v>0.50141999470058607</v>
      </c>
      <c r="M7" s="4">
        <v>-0.57302570415843135</v>
      </c>
      <c r="N7" s="4">
        <v>0.60052286524229381</v>
      </c>
      <c r="O7" s="4">
        <v>0.7682137400269794</v>
      </c>
      <c r="P7" s="4">
        <v>-8.4500274553032217E-2</v>
      </c>
      <c r="Q7" s="4">
        <v>-0.36624513291451988</v>
      </c>
      <c r="R7" s="4">
        <v>0.92006473545359158</v>
      </c>
      <c r="S7" s="4">
        <v>-0.59014605417035348</v>
      </c>
      <c r="T7" s="4">
        <v>1.2354532357367334</v>
      </c>
      <c r="U7" s="4">
        <v>-0.65979743087440212</v>
      </c>
      <c r="V7" s="4">
        <v>-0.29100780614291877</v>
      </c>
      <c r="W7" s="4">
        <v>-0.92410592919314549</v>
      </c>
      <c r="X7" s="4">
        <v>-0.11676057073504109</v>
      </c>
      <c r="Y7" s="4">
        <v>1.6615366729190559</v>
      </c>
      <c r="Z7" s="4">
        <v>0.31525570940572334</v>
      </c>
      <c r="AA7" s="4">
        <v>0.69686279528273543</v>
      </c>
      <c r="AB7" s="4">
        <v>1.1635818750460807</v>
      </c>
      <c r="AC7" s="4">
        <v>-0.20693343813734821</v>
      </c>
      <c r="AD7" s="4">
        <v>-0.48774931577167091</v>
      </c>
      <c r="AE7" s="4">
        <v>0.41673461357970587</v>
      </c>
      <c r="AF7" s="4">
        <v>4.667123975705334E-2</v>
      </c>
      <c r="AG7" s="4">
        <v>0.78161799092551321</v>
      </c>
      <c r="AH7" s="4">
        <v>-6.4518909794354928E-2</v>
      </c>
      <c r="AI7" s="4">
        <v>-0.39037430701209197</v>
      </c>
      <c r="AJ7" s="4">
        <v>1.1054697830862743</v>
      </c>
      <c r="AK7" s="4">
        <v>1.3373033883552177</v>
      </c>
      <c r="AL7" s="4">
        <v>0.52343444829537034</v>
      </c>
      <c r="AM7" s="4">
        <v>1.6926934988264735</v>
      </c>
      <c r="AN7" s="4">
        <v>-0.38066331487781613</v>
      </c>
      <c r="AO7" s="4">
        <v>0.50985546911149027</v>
      </c>
      <c r="AP7" s="4">
        <v>-0.40061284007876641</v>
      </c>
      <c r="AQ7" s="4">
        <v>0.18445875625880326</v>
      </c>
      <c r="AR7" s="4">
        <v>1.1056928146279594</v>
      </c>
      <c r="AS7" s="4">
        <v>0.30374224081400347</v>
      </c>
      <c r="AT7" s="4">
        <v>0.48085856271661909</v>
      </c>
      <c r="AU7" s="4">
        <v>1.7077685169644505</v>
      </c>
      <c r="AV7" s="4">
        <v>0.79144396800653172</v>
      </c>
      <c r="AW7" s="4">
        <v>1.5562827086113098</v>
      </c>
      <c r="AX7" s="4">
        <v>-0.24656721300690354</v>
      </c>
      <c r="AY7" s="4">
        <v>0.88661913229779665</v>
      </c>
      <c r="AZ7" s="4">
        <v>0.78588101643899144</v>
      </c>
    </row>
    <row r="8" spans="1:52" ht="14">
      <c r="A8" s="3">
        <v>49</v>
      </c>
      <c r="B8" s="3">
        <v>110</v>
      </c>
      <c r="C8" s="4">
        <v>-0.25313253454018736</v>
      </c>
      <c r="D8" s="4">
        <v>0.9087061543595063</v>
      </c>
      <c r="E8" s="4">
        <v>-9.2803017475309946E-2</v>
      </c>
      <c r="F8" s="4">
        <v>0.33584045083838088</v>
      </c>
      <c r="G8" s="4">
        <v>1.1083974189071739</v>
      </c>
      <c r="H8" s="4">
        <v>1.7953479873417146</v>
      </c>
      <c r="I8" s="4">
        <v>-4.7564469615766103E-2</v>
      </c>
      <c r="J8" s="4">
        <v>2.4141627679813649E-2</v>
      </c>
      <c r="K8" s="4">
        <v>1.3865863484553689</v>
      </c>
      <c r="L8" s="4">
        <v>1.5014709207663359</v>
      </c>
      <c r="M8" s="4">
        <v>0.31828804599237126</v>
      </c>
      <c r="N8" s="4">
        <v>-0.25900129577660158</v>
      </c>
      <c r="O8" s="4">
        <v>-0.40552687641513763</v>
      </c>
      <c r="P8" s="4">
        <v>1.4338499841328916</v>
      </c>
      <c r="Q8" s="4">
        <v>-0.74291176450172836</v>
      </c>
      <c r="R8" s="4">
        <v>-0.35024422603249217</v>
      </c>
      <c r="S8" s="4">
        <v>0.72577357760117645</v>
      </c>
      <c r="T8" s="4">
        <v>1.9645474860384056</v>
      </c>
      <c r="U8" s="4">
        <v>-0.60832033241357697</v>
      </c>
      <c r="V8" s="4">
        <v>0.63714044941471626</v>
      </c>
      <c r="W8" s="4">
        <v>-0.96684210183468844</v>
      </c>
      <c r="X8" s="4">
        <v>1.8077774937498083</v>
      </c>
      <c r="Y8" s="4">
        <v>1.4845685309299155</v>
      </c>
      <c r="Z8" s="4">
        <v>0.1316870769297297</v>
      </c>
      <c r="AA8" s="4">
        <v>0.10370817663879173</v>
      </c>
      <c r="AB8" s="4">
        <v>0.29844250843499076</v>
      </c>
      <c r="AC8" s="4">
        <v>-0.20863422660916164</v>
      </c>
      <c r="AD8" s="4">
        <v>1.5171918437659784</v>
      </c>
      <c r="AE8" s="4">
        <v>1.6182749802721448</v>
      </c>
      <c r="AF8" s="4">
        <v>0.27156150648643684</v>
      </c>
      <c r="AG8" s="4">
        <v>1.5102376080685302</v>
      </c>
      <c r="AH8" s="4">
        <v>-0.53458182530292897</v>
      </c>
      <c r="AI8" s="4">
        <v>0.9314514722642071</v>
      </c>
      <c r="AJ8" s="4">
        <v>0.49180767173048057</v>
      </c>
      <c r="AK8" s="4">
        <v>8.9083076998494493E-2</v>
      </c>
      <c r="AL8" s="4">
        <v>0.76227148996685012</v>
      </c>
      <c r="AM8" s="4">
        <v>0.85888402567744737</v>
      </c>
      <c r="AN8" s="4">
        <v>0.83237472818579317</v>
      </c>
      <c r="AO8" s="4">
        <v>-0.59784267767340837</v>
      </c>
      <c r="AP8" s="4">
        <v>0.45166199766573245</v>
      </c>
      <c r="AQ8" s="4">
        <v>-0.69136203200459156</v>
      </c>
      <c r="AR8" s="4">
        <v>0.65239075695768789</v>
      </c>
      <c r="AS8" s="4">
        <v>1.0578595910374484</v>
      </c>
      <c r="AT8" s="4">
        <v>0.37127409305817172</v>
      </c>
      <c r="AU8" s="4">
        <v>1.6433373501533981</v>
      </c>
      <c r="AV8" s="4">
        <v>-0.92790195814659637</v>
      </c>
      <c r="AW8" s="4">
        <v>0.34940434739021442</v>
      </c>
      <c r="AX8" s="4">
        <v>-0.5955387012607517</v>
      </c>
      <c r="AY8" s="4">
        <v>1.9097972799709804</v>
      </c>
      <c r="AZ8" s="4">
        <v>-0.90498222484911328</v>
      </c>
    </row>
    <row r="9" spans="1:52" ht="14">
      <c r="A9" s="3">
        <v>56</v>
      </c>
      <c r="B9" s="3">
        <v>124</v>
      </c>
      <c r="C9" s="4">
        <v>-0.83537558722728256</v>
      </c>
      <c r="D9" s="4">
        <v>1.5918246423224611</v>
      </c>
      <c r="E9" s="4">
        <v>1.7788056812911726</v>
      </c>
      <c r="F9" s="4">
        <v>1.6501689921872003</v>
      </c>
      <c r="G9" s="4">
        <v>1.0057536283233264</v>
      </c>
      <c r="H9" s="4">
        <v>1.5201423070716606</v>
      </c>
      <c r="I9" s="4">
        <v>1.762680582945404</v>
      </c>
      <c r="J9" s="4">
        <v>1.5334219689042619</v>
      </c>
      <c r="K9" s="4">
        <v>-0.83458882598757633</v>
      </c>
      <c r="L9" s="4">
        <v>0.60993578748935995</v>
      </c>
      <c r="M9" s="4">
        <v>-0.4900546316375215</v>
      </c>
      <c r="N9" s="4">
        <v>1.6607645695291828</v>
      </c>
      <c r="O9" s="4">
        <v>0.26139661195709918</v>
      </c>
      <c r="P9" s="4">
        <v>0.85088243882834913</v>
      </c>
      <c r="Q9" s="4">
        <v>1.40098183574093</v>
      </c>
      <c r="R9" s="4">
        <v>0.46938465383806083</v>
      </c>
      <c r="S9" s="4">
        <v>1.7991243324269648</v>
      </c>
      <c r="T9" s="4">
        <v>0.1441112460602838</v>
      </c>
      <c r="U9" s="4">
        <v>1.1938621429424345</v>
      </c>
      <c r="V9" s="4">
        <v>-0.77941812156221013</v>
      </c>
      <c r="W9" s="4">
        <v>0.85863809715465134</v>
      </c>
      <c r="X9" s="4">
        <v>0.30191584713376629</v>
      </c>
      <c r="Y9" s="4">
        <v>0.14218014191040618</v>
      </c>
      <c r="Z9" s="4">
        <v>0.21691836633997041</v>
      </c>
      <c r="AA9" s="4">
        <v>0.7555636249888289</v>
      </c>
      <c r="AB9" s="4">
        <v>-0.95222744677024374</v>
      </c>
      <c r="AC9" s="4">
        <v>1.96767981771046</v>
      </c>
      <c r="AD9" s="4">
        <v>1.3067839168396018</v>
      </c>
      <c r="AE9" s="4">
        <v>-0.24978213307959851</v>
      </c>
      <c r="AF9" s="4">
        <v>-9.6617576241786463E-2</v>
      </c>
      <c r="AG9" s="4">
        <v>1.3869001367371272</v>
      </c>
      <c r="AH9" s="4">
        <v>0.18809457688652254</v>
      </c>
      <c r="AI9" s="4">
        <v>-0.87090617014593297</v>
      </c>
      <c r="AJ9" s="4">
        <v>-0.90054392986502441</v>
      </c>
      <c r="AK9" s="4">
        <v>1.1410545096705684</v>
      </c>
      <c r="AL9" s="4">
        <v>1.2728432647524124</v>
      </c>
      <c r="AM9" s="4">
        <v>-0.76706036659120336</v>
      </c>
      <c r="AN9" s="4">
        <v>1.8969596574869061</v>
      </c>
      <c r="AO9" s="4">
        <v>-0.27163595293219611</v>
      </c>
      <c r="AP9" s="4">
        <v>-0.87577894888551899</v>
      </c>
      <c r="AQ9" s="4">
        <v>0.25565048775607291</v>
      </c>
      <c r="AR9" s="4">
        <v>1.9555413371178614</v>
      </c>
      <c r="AS9" s="4">
        <v>1.2880630590413622</v>
      </c>
      <c r="AT9" s="4">
        <v>1.7280282279429158</v>
      </c>
      <c r="AU9" s="4">
        <v>0.88819241834046936</v>
      </c>
      <c r="AV9" s="4">
        <v>0.63585645222364029</v>
      </c>
      <c r="AW9" s="4">
        <v>1.335295775744193</v>
      </c>
      <c r="AX9" s="4">
        <v>1.1100934648394076</v>
      </c>
      <c r="AY9" s="4">
        <v>-0.86822334354058894</v>
      </c>
      <c r="AZ9" s="4">
        <v>0.37251053362163022</v>
      </c>
    </row>
    <row r="10" spans="1:52" ht="14">
      <c r="A10" s="3">
        <v>63</v>
      </c>
      <c r="B10" s="3">
        <v>138</v>
      </c>
      <c r="C10" s="4">
        <v>1.7410502021299958</v>
      </c>
      <c r="D10" s="4">
        <v>1.967325334807152</v>
      </c>
      <c r="E10" s="4">
        <v>1.9580955170964072</v>
      </c>
      <c r="F10" s="4">
        <v>0.23590907253588567</v>
      </c>
      <c r="G10" s="4">
        <v>-0.76562301969457713</v>
      </c>
      <c r="H10" s="4">
        <v>0.84519274851171033</v>
      </c>
      <c r="I10" s="4">
        <v>-0.71690513310298265</v>
      </c>
      <c r="J10" s="4">
        <v>0.29207054875088168</v>
      </c>
      <c r="K10" s="4">
        <v>-0.66004058858380421</v>
      </c>
      <c r="L10" s="4">
        <v>-0.30868988735138736</v>
      </c>
      <c r="M10" s="4">
        <v>-0.15086844825569101</v>
      </c>
      <c r="N10" s="4">
        <v>-0.52380620547024337</v>
      </c>
      <c r="O10" s="4">
        <v>-0.62121714064671107</v>
      </c>
      <c r="P10" s="4">
        <v>1.7151772518668635</v>
      </c>
      <c r="Q10" s="4">
        <v>1.2043542796315689</v>
      </c>
      <c r="R10" s="4">
        <v>0.60618035198933085</v>
      </c>
      <c r="S10" s="4">
        <v>1.1431012431093965</v>
      </c>
      <c r="T10" s="4">
        <v>-0.72249179325581359</v>
      </c>
      <c r="U10" s="4">
        <v>-0.53722903832578961</v>
      </c>
      <c r="V10" s="4">
        <v>-0.81446696747926695</v>
      </c>
      <c r="W10" s="4">
        <v>-0.97973515209891293</v>
      </c>
      <c r="X10" s="4">
        <v>0.1541500740852958</v>
      </c>
      <c r="Y10" s="4">
        <v>1.2128971510973576</v>
      </c>
      <c r="Z10" s="4">
        <v>-0.55034596193235941</v>
      </c>
      <c r="AA10" s="4">
        <v>1.8453690921965342</v>
      </c>
      <c r="AB10" s="4">
        <v>1.2270648953834637</v>
      </c>
      <c r="AC10" s="4">
        <v>1.6298346601301681</v>
      </c>
      <c r="AD10" s="4">
        <v>0.22006523010005641</v>
      </c>
      <c r="AE10" s="4">
        <v>1.7444429340010508</v>
      </c>
      <c r="AF10" s="4">
        <v>-0.32340671482049466</v>
      </c>
      <c r="AG10" s="4">
        <v>1.6774992784403462</v>
      </c>
      <c r="AH10" s="4">
        <v>-0.73423023857896108</v>
      </c>
      <c r="AI10" s="4">
        <v>-0.5201047094464385</v>
      </c>
      <c r="AJ10" s="4">
        <v>1.9992184053706428</v>
      </c>
      <c r="AK10" s="4">
        <v>0.53771587971766133</v>
      </c>
      <c r="AL10" s="4">
        <v>1.1209733508959392</v>
      </c>
      <c r="AM10" s="4">
        <v>-0.94006124171673078</v>
      </c>
      <c r="AN10" s="4">
        <v>1.4250494912934375</v>
      </c>
      <c r="AO10" s="4">
        <v>-0.34709972037582393</v>
      </c>
      <c r="AP10" s="4">
        <v>0.55838430448285514</v>
      </c>
      <c r="AQ10" s="4">
        <v>-0.3762909555674484</v>
      </c>
      <c r="AR10" s="4">
        <v>-0.44075702316029797</v>
      </c>
      <c r="AS10" s="4">
        <v>-0.98095396513755184</v>
      </c>
      <c r="AT10" s="4">
        <v>0.167310838325337</v>
      </c>
      <c r="AU10" s="4">
        <v>1.8637989725122515</v>
      </c>
      <c r="AV10" s="4">
        <v>-0.67841932970125718</v>
      </c>
      <c r="AW10" s="4">
        <v>1.6157351516986447</v>
      </c>
      <c r="AX10" s="4">
        <v>-0.26422545348426529</v>
      </c>
      <c r="AY10" s="4">
        <v>1.4979257188645563</v>
      </c>
      <c r="AZ10" s="4">
        <v>1.5084232442516821</v>
      </c>
    </row>
    <row r="11" spans="1:52" ht="14">
      <c r="A11" s="3">
        <v>70</v>
      </c>
      <c r="B11" s="3">
        <v>152</v>
      </c>
      <c r="C11" s="4">
        <v>-0.76850431145218956</v>
      </c>
      <c r="D11" s="4">
        <v>-0.74279897881025259</v>
      </c>
      <c r="E11" s="4">
        <v>0.4426424657664354</v>
      </c>
      <c r="F11" s="4">
        <v>-0.31159585599358686</v>
      </c>
      <c r="G11" s="4">
        <v>0.63408597490016649</v>
      </c>
      <c r="H11" s="4">
        <v>-0.41404526654100626</v>
      </c>
      <c r="I11" s="4">
        <v>0.73747618722171571</v>
      </c>
      <c r="J11" s="4">
        <v>-0.72752440723132328</v>
      </c>
      <c r="K11" s="4">
        <v>-0.19297449781135212</v>
      </c>
      <c r="L11" s="4">
        <v>1.0908404414105843</v>
      </c>
      <c r="M11" s="4">
        <v>-0.73065297519217698</v>
      </c>
      <c r="N11" s="4">
        <v>0.29295746813751988</v>
      </c>
      <c r="O11" s="4">
        <v>0.16153339872785122</v>
      </c>
      <c r="P11" s="4">
        <v>-0.30740435297271984</v>
      </c>
      <c r="Q11" s="4">
        <v>0.90639533967315189</v>
      </c>
      <c r="R11" s="4">
        <v>0.10627150456736534</v>
      </c>
      <c r="S11" s="4">
        <v>0.39741262914781972</v>
      </c>
      <c r="T11" s="4">
        <v>1.0017208043045742</v>
      </c>
      <c r="U11" s="4">
        <v>-1.6667058916638555E-2</v>
      </c>
      <c r="V11" s="4">
        <v>0.26273894545883525</v>
      </c>
      <c r="W11" s="4">
        <v>-0.64651377066046645</v>
      </c>
      <c r="X11" s="4">
        <v>1.5621801800963835</v>
      </c>
      <c r="Y11" s="4">
        <v>-0.67023379957563767</v>
      </c>
      <c r="Z11" s="4">
        <v>0.51166453850554494</v>
      </c>
      <c r="AA11" s="4">
        <v>1.1698620422981194</v>
      </c>
      <c r="AB11" s="4">
        <v>0.52704876981934035</v>
      </c>
      <c r="AC11" s="4">
        <v>0.17870726389284342</v>
      </c>
      <c r="AD11" s="4">
        <v>1.2129756812407901</v>
      </c>
      <c r="AE11" s="4">
        <v>0.21124500236313259</v>
      </c>
      <c r="AF11" s="4">
        <v>1.0278235490365599</v>
      </c>
      <c r="AG11" s="4">
        <v>2.9491891695698769E-2</v>
      </c>
      <c r="AH11" s="4">
        <v>-0.95786427017545406</v>
      </c>
      <c r="AI11" s="4">
        <v>1.4505154081329477</v>
      </c>
      <c r="AJ11" s="4">
        <v>1.7491180907251076</v>
      </c>
      <c r="AK11" s="4">
        <v>1.7893228427351904</v>
      </c>
      <c r="AL11" s="4">
        <v>-0.87495039133202279</v>
      </c>
      <c r="AM11" s="4">
        <v>0.26179204528810074</v>
      </c>
      <c r="AN11" s="4">
        <v>0.4704593731404294</v>
      </c>
      <c r="AO11" s="4">
        <v>1.7676576082726925</v>
      </c>
      <c r="AP11" s="4">
        <v>-1.0318737072896544E-2</v>
      </c>
      <c r="AQ11" s="4">
        <v>0.82219897958022525</v>
      </c>
      <c r="AR11" s="4">
        <v>0.58690510027681009</v>
      </c>
      <c r="AS11" s="4">
        <v>0.34765889945779016</v>
      </c>
      <c r="AT11" s="4">
        <v>-2.8899124604020887E-2</v>
      </c>
      <c r="AU11" s="4">
        <v>1.5715547396603946</v>
      </c>
      <c r="AV11" s="4">
        <v>-0.1297991707762981</v>
      </c>
      <c r="AW11" s="4">
        <v>1.4089270125905429</v>
      </c>
      <c r="AX11" s="4">
        <v>-4.3318632520709999E-2</v>
      </c>
      <c r="AY11" s="4">
        <v>-0.5707974464586778</v>
      </c>
      <c r="AZ11" s="4">
        <v>-1.7804661824303736E-2</v>
      </c>
    </row>
    <row r="12" spans="1:52" ht="14">
      <c r="A12" s="3">
        <v>77</v>
      </c>
      <c r="B12" s="3">
        <v>166</v>
      </c>
      <c r="C12" s="4">
        <v>1.033450395718825</v>
      </c>
      <c r="D12" s="4">
        <v>-0.9943843810823646</v>
      </c>
      <c r="E12" s="4">
        <v>0.72802080808458447</v>
      </c>
      <c r="F12" s="4">
        <v>-0.72586528491355329</v>
      </c>
      <c r="G12" s="4">
        <v>-0.85271681381921782</v>
      </c>
      <c r="H12" s="4">
        <v>1.7258626318453885</v>
      </c>
      <c r="I12" s="4">
        <v>-0.4796015730008073</v>
      </c>
      <c r="J12" s="4">
        <v>-0.51767673196029296</v>
      </c>
      <c r="K12" s="4">
        <v>1.0149522636595765</v>
      </c>
      <c r="L12" s="4">
        <v>-0.75257040620356253</v>
      </c>
      <c r="M12" s="4">
        <v>0.6879212348896776</v>
      </c>
      <c r="N12" s="4">
        <v>-0.85958620218462123</v>
      </c>
      <c r="O12" s="4">
        <v>-1.0591668458824088E-2</v>
      </c>
      <c r="P12" s="4">
        <v>1.7897028092306959</v>
      </c>
      <c r="Q12" s="4">
        <v>0.87734534138904541</v>
      </c>
      <c r="R12" s="4">
        <v>-0.8024037032489707</v>
      </c>
      <c r="S12" s="4">
        <v>-0.8468834283903961</v>
      </c>
      <c r="T12" s="4">
        <v>1.3592371366689973</v>
      </c>
      <c r="U12" s="4">
        <v>0.27356700499574427</v>
      </c>
      <c r="V12" s="4">
        <v>1.686747226023033</v>
      </c>
      <c r="W12" s="4">
        <v>-0.36588526853358272</v>
      </c>
      <c r="X12" s="4">
        <v>-4.9465915228795621E-2</v>
      </c>
      <c r="Y12" s="4">
        <v>1.1506966395691178</v>
      </c>
      <c r="Z12" s="4">
        <v>1.7046569247746892</v>
      </c>
      <c r="AA12" s="4">
        <v>0.89503274236061414</v>
      </c>
      <c r="AB12" s="4">
        <v>1.0117732586706123</v>
      </c>
      <c r="AC12" s="4">
        <v>0.55820364681093748</v>
      </c>
      <c r="AD12" s="4">
        <v>1.7255700790491653</v>
      </c>
      <c r="AE12" s="4">
        <v>0.63179244461042638</v>
      </c>
      <c r="AF12" s="4">
        <v>0.62471656169186629</v>
      </c>
      <c r="AG12" s="4">
        <v>-0.59614919721127813</v>
      </c>
      <c r="AH12" s="4">
        <v>1.3222579422613914</v>
      </c>
      <c r="AI12" s="4">
        <v>-0.83129362594722789</v>
      </c>
      <c r="AJ12" s="4">
        <v>-0.90199688410772827</v>
      </c>
      <c r="AK12" s="4">
        <v>0.44513694518300839</v>
      </c>
      <c r="AL12" s="4">
        <v>0.61884101756949583</v>
      </c>
      <c r="AM12" s="4">
        <v>0.4866940004373066</v>
      </c>
      <c r="AN12" s="4">
        <v>1.9230542991031421</v>
      </c>
      <c r="AO12" s="4">
        <v>-4.9033333037452831E-2</v>
      </c>
      <c r="AP12" s="4">
        <v>4.9580916231647065E-2</v>
      </c>
      <c r="AQ12" s="4">
        <v>1.2713345574653641</v>
      </c>
      <c r="AR12" s="4">
        <v>1.2918073610999607</v>
      </c>
      <c r="AS12" s="4">
        <v>1.0452658749282886</v>
      </c>
      <c r="AT12" s="4">
        <v>1.2478603779803741</v>
      </c>
      <c r="AU12" s="4">
        <v>-0.38252494344359722</v>
      </c>
      <c r="AV12" s="4">
        <v>1.6254962491681986</v>
      </c>
      <c r="AW12" s="4">
        <v>0.99426189647839314</v>
      </c>
      <c r="AX12" s="4">
        <v>-0.86043013797357082</v>
      </c>
      <c r="AY12" s="4">
        <v>1.2771121099521865</v>
      </c>
      <c r="AZ12" s="4">
        <v>-0.18630127590824519</v>
      </c>
    </row>
    <row r="13" spans="1:52" ht="14">
      <c r="A13" s="3">
        <v>84</v>
      </c>
      <c r="B13" s="3">
        <v>180</v>
      </c>
      <c r="C13" s="4">
        <v>-0.80158887690895186</v>
      </c>
      <c r="D13" s="4">
        <v>-0.13642567747884249</v>
      </c>
      <c r="E13" s="4">
        <v>0.17522768707431624</v>
      </c>
      <c r="F13" s="4">
        <v>1.1724597602610873</v>
      </c>
      <c r="G13" s="4">
        <v>1.4018497627152007</v>
      </c>
      <c r="H13" s="4">
        <v>-6.3105734231940658E-2</v>
      </c>
      <c r="I13" s="4">
        <v>1.6749171644537779</v>
      </c>
      <c r="J13" s="4">
        <v>0.30213688529301663</v>
      </c>
      <c r="K13" s="4">
        <v>1.1522994757653438</v>
      </c>
      <c r="L13" s="4">
        <v>-0.9080397076844624</v>
      </c>
      <c r="M13" s="4">
        <v>-0.23026122764726498</v>
      </c>
      <c r="N13" s="4">
        <v>0.46319174517437001</v>
      </c>
      <c r="O13" s="4">
        <v>1.1627309568255657</v>
      </c>
      <c r="P13" s="4">
        <v>-6.3489732062442461E-2</v>
      </c>
      <c r="Q13" s="4">
        <v>-0.56544262286900726</v>
      </c>
      <c r="R13" s="4">
        <v>1.1976342869331991</v>
      </c>
      <c r="S13" s="4">
        <v>0.24126165542773093</v>
      </c>
      <c r="T13" s="4">
        <v>1.8647919152582266</v>
      </c>
      <c r="U13" s="4">
        <v>1.387998980459211</v>
      </c>
      <c r="V13" s="4">
        <v>0.31387463678501626</v>
      </c>
      <c r="W13" s="4">
        <v>1.448568273120016</v>
      </c>
      <c r="X13" s="4">
        <v>-0.35806853152647744</v>
      </c>
      <c r="Y13" s="4">
        <v>-0.1689295106662021</v>
      </c>
      <c r="Z13" s="4">
        <v>-6.7329800807375273E-2</v>
      </c>
      <c r="AA13" s="4">
        <v>1.2175185636463859</v>
      </c>
      <c r="AB13" s="4">
        <v>1.1643887860731228</v>
      </c>
      <c r="AC13" s="4">
        <v>0.40385823704963164</v>
      </c>
      <c r="AD13" s="4">
        <v>-0.62873154265236797</v>
      </c>
      <c r="AE13" s="4">
        <v>1.2592410199377249</v>
      </c>
      <c r="AF13" s="4">
        <v>3.3217752063527284E-2</v>
      </c>
      <c r="AG13" s="4">
        <v>1.8095236618800357</v>
      </c>
      <c r="AH13" s="4">
        <v>1.1274644862514189</v>
      </c>
      <c r="AI13" s="4">
        <v>1.3298514376719777</v>
      </c>
      <c r="AJ13" s="4">
        <v>-0.17314955770890594</v>
      </c>
      <c r="AK13" s="4">
        <v>1.8048152095898131</v>
      </c>
      <c r="AL13" s="4">
        <v>-0.52470841764897713</v>
      </c>
      <c r="AM13" s="4">
        <v>1.182054886949949</v>
      </c>
      <c r="AN13" s="4">
        <v>0.21012402792721196</v>
      </c>
      <c r="AO13" s="4">
        <v>0.50631515710340846</v>
      </c>
      <c r="AP13" s="4">
        <v>1.4340641624687374</v>
      </c>
      <c r="AQ13" s="4">
        <v>0.27584186577727909</v>
      </c>
      <c r="AR13" s="4">
        <v>0.26626912368222644</v>
      </c>
      <c r="AS13" s="4">
        <v>0.2116399540674232</v>
      </c>
      <c r="AT13" s="4">
        <v>-0.87750876087665863</v>
      </c>
      <c r="AU13" s="4">
        <v>7.2497591582340037E-2</v>
      </c>
      <c r="AV13" s="4">
        <v>-0.31142164835533026</v>
      </c>
      <c r="AW13" s="4">
        <v>0.18481287648710198</v>
      </c>
      <c r="AX13" s="4">
        <v>-0.24042041227114519</v>
      </c>
      <c r="AY13" s="4">
        <v>-1.3857041408593118E-2</v>
      </c>
      <c r="AZ13" s="4">
        <v>1.718473686751377</v>
      </c>
    </row>
    <row r="14" spans="1:52" ht="14">
      <c r="A14" s="3">
        <v>91</v>
      </c>
      <c r="B14" s="3">
        <v>194</v>
      </c>
      <c r="C14" s="4">
        <v>0.92208216215170269</v>
      </c>
      <c r="D14" s="4">
        <v>-0.77657759131055903</v>
      </c>
      <c r="E14" s="4">
        <v>-0.94748349041796143</v>
      </c>
      <c r="F14" s="4">
        <v>-0.88556267714574377</v>
      </c>
      <c r="G14" s="4">
        <v>1.7773948312098189</v>
      </c>
      <c r="H14" s="4">
        <v>0.94126945602850653</v>
      </c>
      <c r="I14" s="4">
        <v>0.86284818366857208</v>
      </c>
      <c r="J14" s="4">
        <v>-0.68122508427565176</v>
      </c>
      <c r="K14" s="4">
        <v>1.4541018605937028</v>
      </c>
      <c r="L14" s="4">
        <v>0.69926185239591754</v>
      </c>
      <c r="M14" s="4">
        <v>0.79302298875896515</v>
      </c>
      <c r="N14" s="4">
        <v>0.69717612824138753</v>
      </c>
      <c r="O14" s="4">
        <v>0.67584604044804686</v>
      </c>
      <c r="P14" s="4">
        <v>0.10579298536884063</v>
      </c>
      <c r="Q14" s="4">
        <v>1.423140952287937</v>
      </c>
      <c r="R14" s="4">
        <v>0.65776450387233987</v>
      </c>
      <c r="S14" s="4">
        <v>1.0920951600282494</v>
      </c>
      <c r="T14" s="4">
        <v>-3.8745710808420042E-2</v>
      </c>
      <c r="U14" s="4">
        <v>1.7129402379826311</v>
      </c>
      <c r="V14" s="4">
        <v>1.7025169874715251E-2</v>
      </c>
      <c r="W14" s="4">
        <v>1.4768600254914663</v>
      </c>
      <c r="X14" s="4">
        <v>1.2892270888904782</v>
      </c>
      <c r="Y14" s="4">
        <v>1.0419762402954027</v>
      </c>
      <c r="Z14" s="4">
        <v>1.4637662728663399</v>
      </c>
      <c r="AA14" s="4">
        <v>1.457014553731947</v>
      </c>
      <c r="AB14" s="4">
        <v>1.7830186788147184</v>
      </c>
      <c r="AC14" s="4">
        <v>-0.3709876822538839</v>
      </c>
      <c r="AD14" s="4">
        <v>-0.80571562766060112</v>
      </c>
      <c r="AE14" s="4">
        <v>1.7819367858003665</v>
      </c>
      <c r="AF14" s="4">
        <v>-0.5082385571788407</v>
      </c>
      <c r="AG14" s="4">
        <v>1.9673406678495997</v>
      </c>
      <c r="AH14" s="4">
        <v>1.1679518561414681</v>
      </c>
      <c r="AI14" s="4">
        <v>-0.60381070535687753</v>
      </c>
      <c r="AJ14" s="4">
        <v>0.82029345451759372</v>
      </c>
      <c r="AK14" s="4">
        <v>1.1627520735466184</v>
      </c>
      <c r="AL14" s="4">
        <v>-0.31755424302627555</v>
      </c>
      <c r="AM14" s="4">
        <v>0.8269579424600223</v>
      </c>
      <c r="AN14" s="4">
        <v>-0.83296001681924814</v>
      </c>
      <c r="AO14" s="4">
        <v>0.31087334418897372</v>
      </c>
      <c r="AP14" s="4">
        <v>0.21783622019356619</v>
      </c>
      <c r="AQ14" s="4">
        <v>-0.35203223210986978</v>
      </c>
      <c r="AR14" s="4">
        <v>1.7741138594756998</v>
      </c>
      <c r="AS14" s="4">
        <v>-0.69940875194768048</v>
      </c>
      <c r="AT14" s="4">
        <v>-0.25124624389732353</v>
      </c>
      <c r="AU14" s="4">
        <v>3.1594533641105316E-2</v>
      </c>
      <c r="AV14" s="4">
        <v>1.613854044636569</v>
      </c>
      <c r="AW14" s="4">
        <v>1.6802815731627871</v>
      </c>
      <c r="AX14" s="4">
        <v>1.9738536685687906</v>
      </c>
      <c r="AY14" s="4">
        <v>1.6508910202456084</v>
      </c>
      <c r="AZ14" s="4">
        <v>0.38602085642416673</v>
      </c>
    </row>
    <row r="15" spans="1:52" ht="14">
      <c r="A15" s="3">
        <v>98</v>
      </c>
      <c r="B15" s="3">
        <v>208</v>
      </c>
      <c r="C15" s="4">
        <v>-0.90014654292233198</v>
      </c>
      <c r="D15" s="4">
        <v>1.601562059390595</v>
      </c>
      <c r="E15" s="4">
        <v>-0.30970779841167706</v>
      </c>
      <c r="F15" s="4">
        <v>1.324704366296902</v>
      </c>
      <c r="G15" s="4">
        <v>1.0315974920234505</v>
      </c>
      <c r="H15" s="4">
        <v>0.26970011830058993</v>
      </c>
      <c r="I15" s="4">
        <v>1.3522549720523411</v>
      </c>
      <c r="J15" s="4">
        <v>1.150025411212162</v>
      </c>
      <c r="K15" s="4">
        <v>1.6815036942859978</v>
      </c>
      <c r="L15" s="4">
        <v>-0.18270159495648897</v>
      </c>
      <c r="M15" s="4">
        <v>1.810804307429013</v>
      </c>
      <c r="N15" s="4">
        <v>1.9071887122485531E-2</v>
      </c>
      <c r="O15" s="4">
        <v>-0.28007289356894416</v>
      </c>
      <c r="P15" s="4">
        <v>0.25935268972920433</v>
      </c>
      <c r="Q15" s="4">
        <v>-0.80568633547450841</v>
      </c>
      <c r="R15" s="4">
        <v>0.61984994933605353</v>
      </c>
      <c r="S15" s="4">
        <v>0.39649894270432895</v>
      </c>
      <c r="T15" s="4">
        <v>-0.39203870564674892</v>
      </c>
      <c r="U15" s="4">
        <v>0.78426379563781012</v>
      </c>
      <c r="V15" s="4">
        <v>1.3992647606868558</v>
      </c>
      <c r="W15" s="4">
        <v>-8.179947644103458E-3</v>
      </c>
      <c r="X15" s="4">
        <v>0.23779122154601606</v>
      </c>
      <c r="Y15" s="4">
        <v>1.1077137674174717</v>
      </c>
      <c r="Z15" s="4">
        <v>0.24661037492450255</v>
      </c>
      <c r="AA15" s="4">
        <v>0.19426441471431299</v>
      </c>
      <c r="AB15" s="4">
        <v>1.4842713242085539</v>
      </c>
      <c r="AC15" s="4">
        <v>0.89824141369980282</v>
      </c>
      <c r="AD15" s="4">
        <v>-0.24060411142000981</v>
      </c>
      <c r="AE15" s="4">
        <v>0.60111112863916771</v>
      </c>
      <c r="AF15" s="4">
        <v>-0.51376865532607929</v>
      </c>
      <c r="AG15" s="4">
        <v>1.7495715973785262</v>
      </c>
      <c r="AH15" s="4">
        <v>-0.2717731442786071</v>
      </c>
      <c r="AI15" s="4">
        <v>-0.20677627966595802</v>
      </c>
      <c r="AJ15" s="4">
        <v>-0.46529470187013378</v>
      </c>
      <c r="AK15" s="4">
        <v>-0.46388860970680135</v>
      </c>
      <c r="AL15" s="4">
        <v>-0.27253931938332721</v>
      </c>
      <c r="AM15" s="4">
        <v>-0.31750429846478068</v>
      </c>
      <c r="AN15" s="4">
        <v>1.439618438723385</v>
      </c>
      <c r="AO15" s="4">
        <v>-7.538940163196739E-2</v>
      </c>
      <c r="AP15" s="4">
        <v>1.9483545133310014</v>
      </c>
      <c r="AQ15" s="4">
        <v>-0.91871904381107528</v>
      </c>
      <c r="AR15" s="4">
        <v>1.6760760074116212</v>
      </c>
      <c r="AS15" s="4">
        <v>1.5511665100007503</v>
      </c>
      <c r="AT15" s="4">
        <v>0.66142478795888093</v>
      </c>
      <c r="AU15" s="4">
        <v>1.6930275672574859</v>
      </c>
      <c r="AV15" s="4">
        <v>0.32197299252902267</v>
      </c>
      <c r="AW15" s="4">
        <v>-0.31220814626646753</v>
      </c>
      <c r="AX15" s="4">
        <v>1.9447367571551015</v>
      </c>
      <c r="AY15" s="4">
        <v>-2.6665719834619739E-2</v>
      </c>
      <c r="AZ15" s="4">
        <v>1.048643303300917</v>
      </c>
    </row>
    <row r="16" spans="1:52" ht="14">
      <c r="A16" s="3">
        <v>105</v>
      </c>
      <c r="B16" s="3">
        <v>222</v>
      </c>
      <c r="C16" s="4">
        <v>0.88431363079664427</v>
      </c>
      <c r="D16" s="4">
        <v>1.3024387031474072</v>
      </c>
      <c r="E16" s="4">
        <v>0.69024336670992881</v>
      </c>
      <c r="F16" s="4">
        <v>4.7659819689152227E-2</v>
      </c>
      <c r="G16" s="4">
        <v>0.48814155029871586</v>
      </c>
      <c r="H16" s="4">
        <v>4.4504078757646282E-2</v>
      </c>
      <c r="I16" s="4">
        <v>1.5383170606279186</v>
      </c>
      <c r="J16" s="4">
        <v>0.85799232613721643</v>
      </c>
      <c r="K16" s="4">
        <v>-9.1603801868982981E-2</v>
      </c>
      <c r="L16" s="4">
        <v>1.7364091708475073</v>
      </c>
      <c r="M16" s="4">
        <v>0.86037514209366628</v>
      </c>
      <c r="N16" s="4">
        <v>-0.98329711281302479</v>
      </c>
      <c r="O16" s="4">
        <v>1.4357671060101951</v>
      </c>
      <c r="P16" s="4">
        <v>1.3453350361043417</v>
      </c>
      <c r="Q16" s="4">
        <v>0.81852497375542521</v>
      </c>
      <c r="R16" s="4">
        <v>1.9021713264176219</v>
      </c>
      <c r="S16" s="4">
        <v>1.4196790730380404</v>
      </c>
      <c r="T16" s="4">
        <v>-0.89886189613706879</v>
      </c>
      <c r="U16" s="4">
        <v>1.0856368908504586</v>
      </c>
      <c r="V16" s="4">
        <v>0.12125173412806522</v>
      </c>
      <c r="W16" s="4">
        <v>1.3838496706151517</v>
      </c>
      <c r="X16" s="4">
        <v>-0.9047394121259853</v>
      </c>
      <c r="Y16" s="4">
        <v>0.56505841762902032</v>
      </c>
      <c r="Z16" s="4">
        <v>1.8505228313872391</v>
      </c>
      <c r="AA16" s="4">
        <v>1.5405898020977413</v>
      </c>
      <c r="AB16" s="4">
        <v>-0.24212454864447253</v>
      </c>
      <c r="AC16" s="4">
        <v>-0.95381957009687834</v>
      </c>
      <c r="AD16" s="4">
        <v>1.4991326397564928</v>
      </c>
      <c r="AE16" s="4">
        <v>1.0905652648049666</v>
      </c>
      <c r="AF16" s="4">
        <v>1.4124854459377714</v>
      </c>
      <c r="AG16" s="4">
        <v>1.8075742711725651</v>
      </c>
      <c r="AH16" s="4">
        <v>0.51745607018709405</v>
      </c>
      <c r="AI16" s="4">
        <v>1.9447389048372106</v>
      </c>
      <c r="AJ16" s="4">
        <v>1.3571941693159428</v>
      </c>
      <c r="AK16" s="4">
        <v>0.42941817785493241</v>
      </c>
      <c r="AL16" s="4">
        <v>1.4257844208502013</v>
      </c>
      <c r="AM16" s="4">
        <v>-0.24478871003904035</v>
      </c>
      <c r="AN16" s="4">
        <v>0.17186834184627964</v>
      </c>
      <c r="AO16" s="4">
        <v>-0.67306774795999569</v>
      </c>
      <c r="AP16" s="4">
        <v>1.3872651217308598</v>
      </c>
      <c r="AQ16" s="4">
        <v>0.3916793941631479</v>
      </c>
      <c r="AR16" s="4">
        <v>1.2004100143090488</v>
      </c>
      <c r="AS16" s="4">
        <v>-0.23345961055063769</v>
      </c>
      <c r="AT16" s="4">
        <v>0.89931094671137202</v>
      </c>
      <c r="AU16" s="4">
        <v>1.25023156930791</v>
      </c>
      <c r="AV16" s="4">
        <v>-0.59264269642239176</v>
      </c>
      <c r="AW16" s="4">
        <v>1.376477886931591</v>
      </c>
      <c r="AX16" s="4">
        <v>0.42769709803082512</v>
      </c>
      <c r="AY16" s="4">
        <v>-0.96880239540538748</v>
      </c>
      <c r="AZ16" s="4">
        <v>1.0580324652743185</v>
      </c>
    </row>
    <row r="17" spans="1:52" ht="14">
      <c r="C17" s="4"/>
    </row>
    <row r="18" spans="1:52" ht="14">
      <c r="A18" s="5" t="s">
        <v>0</v>
      </c>
      <c r="B18" s="5" t="s">
        <v>1</v>
      </c>
      <c r="C18" s="2" t="s">
        <v>52</v>
      </c>
      <c r="D18" s="2" t="s">
        <v>53</v>
      </c>
      <c r="E18" s="2" t="s">
        <v>54</v>
      </c>
      <c r="F18" s="2" t="s">
        <v>55</v>
      </c>
      <c r="G18" s="2" t="s">
        <v>56</v>
      </c>
      <c r="H18" s="2" t="s">
        <v>57</v>
      </c>
      <c r="I18" s="2" t="s">
        <v>58</v>
      </c>
      <c r="J18" s="2" t="s">
        <v>59</v>
      </c>
      <c r="K18" s="2" t="s">
        <v>60</v>
      </c>
      <c r="L18" s="2" t="s">
        <v>61</v>
      </c>
      <c r="M18" s="2" t="s">
        <v>62</v>
      </c>
      <c r="N18" s="2" t="s">
        <v>63</v>
      </c>
      <c r="O18" s="2" t="s">
        <v>64</v>
      </c>
      <c r="P18" s="2" t="s">
        <v>65</v>
      </c>
      <c r="Q18" s="2" t="s">
        <v>66</v>
      </c>
      <c r="R18" s="2" t="s">
        <v>67</v>
      </c>
      <c r="S18" s="2" t="s">
        <v>68</v>
      </c>
      <c r="T18" s="2" t="s">
        <v>69</v>
      </c>
      <c r="U18" s="2" t="s">
        <v>70</v>
      </c>
      <c r="V18" s="2" t="s">
        <v>71</v>
      </c>
      <c r="W18" s="2" t="s">
        <v>72</v>
      </c>
      <c r="X18" s="2" t="s">
        <v>73</v>
      </c>
      <c r="Y18" s="2" t="s">
        <v>74</v>
      </c>
      <c r="Z18" s="2" t="s">
        <v>75</v>
      </c>
      <c r="AA18" s="2" t="s">
        <v>76</v>
      </c>
      <c r="AB18" s="2" t="s">
        <v>77</v>
      </c>
      <c r="AC18" s="2" t="s">
        <v>78</v>
      </c>
      <c r="AD18" s="2" t="s">
        <v>79</v>
      </c>
      <c r="AE18" s="2" t="s">
        <v>80</v>
      </c>
      <c r="AF18" s="2" t="s">
        <v>81</v>
      </c>
      <c r="AG18" s="2" t="s">
        <v>82</v>
      </c>
      <c r="AH18" s="2" t="s">
        <v>83</v>
      </c>
      <c r="AI18" s="2" t="s">
        <v>84</v>
      </c>
      <c r="AJ18" s="2" t="s">
        <v>85</v>
      </c>
      <c r="AK18" s="2" t="s">
        <v>86</v>
      </c>
      <c r="AL18" s="2" t="s">
        <v>87</v>
      </c>
      <c r="AM18" s="2" t="s">
        <v>88</v>
      </c>
      <c r="AN18" s="2" t="s">
        <v>89</v>
      </c>
      <c r="AO18" s="2" t="s">
        <v>90</v>
      </c>
      <c r="AP18" s="2" t="s">
        <v>91</v>
      </c>
      <c r="AQ18" s="2" t="s">
        <v>92</v>
      </c>
      <c r="AR18" s="2" t="s">
        <v>93</v>
      </c>
      <c r="AS18" s="2" t="s">
        <v>94</v>
      </c>
      <c r="AT18" s="2" t="s">
        <v>95</v>
      </c>
      <c r="AU18" s="2" t="s">
        <v>96</v>
      </c>
      <c r="AV18" s="2" t="s">
        <v>97</v>
      </c>
      <c r="AW18" s="2" t="s">
        <v>98</v>
      </c>
      <c r="AX18" s="2" t="s">
        <v>99</v>
      </c>
      <c r="AY18" s="2" t="s">
        <v>100</v>
      </c>
      <c r="AZ18" s="2" t="s">
        <v>101</v>
      </c>
    </row>
    <row r="19" spans="1:52" ht="14">
      <c r="A19" s="3">
        <v>7</v>
      </c>
      <c r="B19" s="3">
        <f t="shared" ref="B19:B33" si="0">2*(A19+6)</f>
        <v>26</v>
      </c>
      <c r="C19" s="4">
        <f t="shared" ref="C19:AZ19" si="1">$B19+C2</f>
        <v>25.254983206598659</v>
      </c>
      <c r="D19" s="4">
        <f>$B19+D2</f>
        <v>27.545343842211281</v>
      </c>
      <c r="E19" s="4">
        <f t="shared" si="1"/>
        <v>26.681230656805756</v>
      </c>
      <c r="F19" s="4">
        <f t="shared" si="1"/>
        <v>25.995993769420117</v>
      </c>
      <c r="G19" s="4">
        <f t="shared" si="1"/>
        <v>26.72003577252282</v>
      </c>
      <c r="H19" s="4">
        <f t="shared" si="1"/>
        <v>26.738202272928351</v>
      </c>
      <c r="I19" s="4">
        <f t="shared" si="1"/>
        <v>25.462728154593233</v>
      </c>
      <c r="J19" s="4">
        <f t="shared" si="1"/>
        <v>27.505591256946634</v>
      </c>
      <c r="K19" s="4">
        <f t="shared" si="1"/>
        <v>27.506324893901521</v>
      </c>
      <c r="L19" s="4">
        <f t="shared" si="1"/>
        <v>25.113937541631135</v>
      </c>
      <c r="M19" s="4">
        <f t="shared" si="1"/>
        <v>27.848840997182176</v>
      </c>
      <c r="N19" s="4">
        <f t="shared" si="1"/>
        <v>27.418730129361219</v>
      </c>
      <c r="O19" s="4">
        <f t="shared" si="1"/>
        <v>27.239194601254237</v>
      </c>
      <c r="P19" s="4">
        <f t="shared" si="1"/>
        <v>26.04536109257015</v>
      </c>
      <c r="Q19" s="4">
        <f t="shared" si="1"/>
        <v>27.87681760827607</v>
      </c>
      <c r="R19" s="4">
        <f t="shared" si="1"/>
        <v>25.598096142471565</v>
      </c>
      <c r="S19" s="4">
        <f t="shared" si="1"/>
        <v>25.876591248604257</v>
      </c>
      <c r="T19" s="4">
        <f t="shared" si="1"/>
        <v>26.996354171031069</v>
      </c>
      <c r="U19" s="4">
        <f t="shared" si="1"/>
        <v>25.528982645409513</v>
      </c>
      <c r="V19" s="4">
        <f t="shared" si="1"/>
        <v>25.12295742308082</v>
      </c>
      <c r="W19" s="4">
        <f t="shared" si="1"/>
        <v>25.093267425118366</v>
      </c>
      <c r="X19" s="4">
        <f t="shared" si="1"/>
        <v>26.098897031087962</v>
      </c>
      <c r="Y19" s="4">
        <f t="shared" si="1"/>
        <v>25.663480319663101</v>
      </c>
      <c r="Z19" s="4">
        <f t="shared" si="1"/>
        <v>25.222791552597428</v>
      </c>
      <c r="AA19" s="4">
        <f t="shared" si="1"/>
        <v>27.542244206120372</v>
      </c>
      <c r="AB19" s="4">
        <f t="shared" si="1"/>
        <v>25.93059859175197</v>
      </c>
      <c r="AC19" s="4">
        <f t="shared" si="1"/>
        <v>25.546885280478634</v>
      </c>
      <c r="AD19" s="4">
        <f t="shared" si="1"/>
        <v>25.042272679135024</v>
      </c>
      <c r="AE19" s="4">
        <f t="shared" si="1"/>
        <v>25.755250359775477</v>
      </c>
      <c r="AF19" s="4">
        <f t="shared" si="1"/>
        <v>25.066945508920909</v>
      </c>
      <c r="AG19" s="4">
        <f t="shared" si="1"/>
        <v>26.375399832745828</v>
      </c>
      <c r="AH19" s="4">
        <f t="shared" si="1"/>
        <v>25.436837016423009</v>
      </c>
      <c r="AI19" s="4">
        <f t="shared" si="1"/>
        <v>27.693857472194487</v>
      </c>
      <c r="AJ19" s="4">
        <f t="shared" si="1"/>
        <v>25.232489008412003</v>
      </c>
      <c r="AK19" s="4">
        <f t="shared" si="1"/>
        <v>25.421356599783874</v>
      </c>
      <c r="AL19" s="4">
        <f t="shared" si="1"/>
        <v>25.248045806829534</v>
      </c>
      <c r="AM19" s="4">
        <f t="shared" si="1"/>
        <v>26.213029495496151</v>
      </c>
      <c r="AN19" s="4">
        <f t="shared" si="1"/>
        <v>27.125188663550155</v>
      </c>
      <c r="AO19" s="4">
        <f t="shared" si="1"/>
        <v>27.69174478099087</v>
      </c>
      <c r="AP19" s="4">
        <f t="shared" si="1"/>
        <v>26.757964501698272</v>
      </c>
      <c r="AQ19" s="4">
        <f t="shared" si="1"/>
        <v>26.948805703928393</v>
      </c>
      <c r="AR19" s="4">
        <f t="shared" si="1"/>
        <v>25.238131425341031</v>
      </c>
      <c r="AS19" s="4">
        <f t="shared" si="1"/>
        <v>25.2354793785547</v>
      </c>
      <c r="AT19" s="4">
        <f t="shared" si="1"/>
        <v>26.271776603001307</v>
      </c>
      <c r="AU19" s="4">
        <f t="shared" si="1"/>
        <v>27.391835674345415</v>
      </c>
      <c r="AV19" s="4">
        <f t="shared" si="1"/>
        <v>27.252845200460072</v>
      </c>
      <c r="AW19" s="4">
        <f t="shared" si="1"/>
        <v>27.486131579251353</v>
      </c>
      <c r="AX19" s="4">
        <f t="shared" si="1"/>
        <v>27.02785129948921</v>
      </c>
      <c r="AY19" s="4">
        <f t="shared" si="1"/>
        <v>25.158485000469952</v>
      </c>
      <c r="AZ19" s="4">
        <f t="shared" si="1"/>
        <v>25.828425143525664</v>
      </c>
    </row>
    <row r="20" spans="1:52" ht="14">
      <c r="A20" s="3">
        <v>14</v>
      </c>
      <c r="B20" s="3">
        <f t="shared" si="0"/>
        <v>40</v>
      </c>
      <c r="C20" s="4">
        <f t="shared" ref="C20:AZ20" si="2">$B20+C3</f>
        <v>41.988522976045495</v>
      </c>
      <c r="D20" s="4">
        <f t="shared" si="2"/>
        <v>41.456612018305876</v>
      </c>
      <c r="E20" s="4">
        <f t="shared" si="2"/>
        <v>39.824159440062218</v>
      </c>
      <c r="F20" s="4">
        <f t="shared" si="2"/>
        <v>41.101507967286508</v>
      </c>
      <c r="G20" s="4">
        <f t="shared" si="2"/>
        <v>41.199495768963246</v>
      </c>
      <c r="H20" s="4">
        <f t="shared" si="2"/>
        <v>40.11660575456601</v>
      </c>
      <c r="I20" s="4">
        <f t="shared" si="2"/>
        <v>41.430079452508039</v>
      </c>
      <c r="J20" s="4">
        <f t="shared" si="2"/>
        <v>40.55858116664043</v>
      </c>
      <c r="K20" s="4">
        <f t="shared" si="2"/>
        <v>41.577126611904077</v>
      </c>
      <c r="L20" s="4">
        <f t="shared" si="2"/>
        <v>40.253010840841192</v>
      </c>
      <c r="M20" s="4">
        <f t="shared" si="2"/>
        <v>39.12676197228943</v>
      </c>
      <c r="N20" s="4">
        <f t="shared" si="2"/>
        <v>39.248970847791853</v>
      </c>
      <c r="O20" s="4">
        <f t="shared" si="2"/>
        <v>39.888333826220126</v>
      </c>
      <c r="P20" s="4">
        <f t="shared" si="2"/>
        <v>41.606403511865821</v>
      </c>
      <c r="Q20" s="4">
        <f t="shared" si="2"/>
        <v>41.430255260140072</v>
      </c>
      <c r="R20" s="4">
        <f t="shared" si="2"/>
        <v>40.997301509231157</v>
      </c>
      <c r="S20" s="4">
        <f t="shared" si="2"/>
        <v>40.970455158356273</v>
      </c>
      <c r="T20" s="4">
        <f t="shared" si="2"/>
        <v>40.372265253434733</v>
      </c>
      <c r="U20" s="4">
        <f t="shared" si="2"/>
        <v>41.830905676169579</v>
      </c>
      <c r="V20" s="4">
        <f t="shared" si="2"/>
        <v>39.808247878307235</v>
      </c>
      <c r="W20" s="4">
        <f t="shared" si="2"/>
        <v>41.351825540107882</v>
      </c>
      <c r="X20" s="4">
        <f t="shared" si="2"/>
        <v>40.611309924419587</v>
      </c>
      <c r="Y20" s="4">
        <f t="shared" si="2"/>
        <v>41.541041195314854</v>
      </c>
      <c r="Z20" s="4">
        <f t="shared" si="2"/>
        <v>39.799963590326811</v>
      </c>
      <c r="AA20" s="4">
        <f t="shared" si="2"/>
        <v>40.707621029405182</v>
      </c>
      <c r="AB20" s="4">
        <f t="shared" si="2"/>
        <v>40.240193914780704</v>
      </c>
      <c r="AC20" s="4">
        <f t="shared" si="2"/>
        <v>40.896280347205078</v>
      </c>
      <c r="AD20" s="4">
        <f t="shared" si="2"/>
        <v>40.942502762675154</v>
      </c>
      <c r="AE20" s="4">
        <f t="shared" si="2"/>
        <v>41.100187599143844</v>
      </c>
      <c r="AF20" s="4">
        <f t="shared" si="2"/>
        <v>40.364328492313319</v>
      </c>
      <c r="AG20" s="4">
        <f t="shared" si="2"/>
        <v>40.984685577648591</v>
      </c>
      <c r="AH20" s="4">
        <f t="shared" si="2"/>
        <v>40.987952739391027</v>
      </c>
      <c r="AI20" s="4">
        <f t="shared" si="2"/>
        <v>41.203073534714001</v>
      </c>
      <c r="AJ20" s="4">
        <f t="shared" si="2"/>
        <v>40.964512928348022</v>
      </c>
      <c r="AK20" s="4">
        <f t="shared" si="2"/>
        <v>39.327979436628183</v>
      </c>
      <c r="AL20" s="4">
        <f t="shared" si="2"/>
        <v>41.228997268830767</v>
      </c>
      <c r="AM20" s="4">
        <f t="shared" si="2"/>
        <v>39.957984204604713</v>
      </c>
      <c r="AN20" s="4">
        <f t="shared" si="2"/>
        <v>39.199107070856613</v>
      </c>
      <c r="AO20" s="4">
        <f t="shared" si="2"/>
        <v>41.68904255276</v>
      </c>
      <c r="AP20" s="4">
        <f t="shared" si="2"/>
        <v>39.972628278095698</v>
      </c>
      <c r="AQ20" s="4">
        <f t="shared" si="2"/>
        <v>41.363877927483259</v>
      </c>
      <c r="AR20" s="4">
        <f t="shared" si="2"/>
        <v>39.8334624692733</v>
      </c>
      <c r="AS20" s="4">
        <f t="shared" si="2"/>
        <v>39.32991205987306</v>
      </c>
      <c r="AT20" s="4">
        <f t="shared" si="2"/>
        <v>41.865725693122307</v>
      </c>
      <c r="AU20" s="4">
        <f t="shared" si="2"/>
        <v>40.347421737379257</v>
      </c>
      <c r="AV20" s="4">
        <f t="shared" si="2"/>
        <v>41.558330220293499</v>
      </c>
      <c r="AW20" s="4">
        <f t="shared" si="2"/>
        <v>41.294499398411588</v>
      </c>
      <c r="AX20" s="4">
        <f t="shared" si="2"/>
        <v>41.459223430856483</v>
      </c>
      <c r="AY20" s="4">
        <f t="shared" si="2"/>
        <v>40.914025703317549</v>
      </c>
      <c r="AZ20" s="4">
        <f t="shared" si="2"/>
        <v>40.208964840125866</v>
      </c>
    </row>
    <row r="21" spans="1:52" ht="15.75" customHeight="1">
      <c r="A21" s="3">
        <v>21</v>
      </c>
      <c r="B21" s="3">
        <f t="shared" si="0"/>
        <v>54</v>
      </c>
      <c r="C21" s="4">
        <f t="shared" ref="C21:AZ21" si="3">$B21+C4</f>
        <v>54.683802560022343</v>
      </c>
      <c r="D21" s="4">
        <f t="shared" si="3"/>
        <v>54.938678031041867</v>
      </c>
      <c r="E21" s="4">
        <f t="shared" si="3"/>
        <v>54.079432165546876</v>
      </c>
      <c r="F21" s="4">
        <f t="shared" si="3"/>
        <v>55.562665545517547</v>
      </c>
      <c r="G21" s="4">
        <f t="shared" si="3"/>
        <v>54.862421381108966</v>
      </c>
      <c r="H21" s="4">
        <f t="shared" si="3"/>
        <v>53.29278075751192</v>
      </c>
      <c r="I21" s="4">
        <f t="shared" si="3"/>
        <v>55.883947043172235</v>
      </c>
      <c r="J21" s="4">
        <f t="shared" si="3"/>
        <v>55.498379532468284</v>
      </c>
      <c r="K21" s="4">
        <f t="shared" si="3"/>
        <v>54.004354662940351</v>
      </c>
      <c r="L21" s="4">
        <f t="shared" si="3"/>
        <v>53.056406638331694</v>
      </c>
      <c r="M21" s="4">
        <f t="shared" si="3"/>
        <v>54.385940528814388</v>
      </c>
      <c r="N21" s="4">
        <f t="shared" si="3"/>
        <v>53.423297702915754</v>
      </c>
      <c r="O21" s="4">
        <f t="shared" si="3"/>
        <v>53.168947480302947</v>
      </c>
      <c r="P21" s="4">
        <f t="shared" si="3"/>
        <v>53.04241126377331</v>
      </c>
      <c r="Q21" s="4">
        <f t="shared" si="3"/>
        <v>55.671003130398844</v>
      </c>
      <c r="R21" s="4">
        <f t="shared" si="3"/>
        <v>54.366379783015127</v>
      </c>
      <c r="S21" s="4">
        <f t="shared" si="3"/>
        <v>54.176986433279531</v>
      </c>
      <c r="T21" s="4">
        <f t="shared" si="3"/>
        <v>53.622400403064248</v>
      </c>
      <c r="U21" s="4">
        <f t="shared" si="3"/>
        <v>54.406816451756526</v>
      </c>
      <c r="V21" s="4">
        <f t="shared" si="3"/>
        <v>54.890869787616865</v>
      </c>
      <c r="W21" s="4">
        <f t="shared" si="3"/>
        <v>53.862915065220996</v>
      </c>
      <c r="X21" s="4">
        <f t="shared" si="3"/>
        <v>54.103899764079102</v>
      </c>
      <c r="Y21" s="4">
        <f t="shared" si="3"/>
        <v>55.467103263315174</v>
      </c>
      <c r="Z21" s="4">
        <f t="shared" si="3"/>
        <v>54.200133686022475</v>
      </c>
      <c r="AA21" s="4">
        <f t="shared" si="3"/>
        <v>55.198448161069244</v>
      </c>
      <c r="AB21" s="4">
        <f t="shared" si="3"/>
        <v>55.895915559399143</v>
      </c>
      <c r="AC21" s="4">
        <f t="shared" si="3"/>
        <v>55.839085901454389</v>
      </c>
      <c r="AD21" s="4">
        <f t="shared" si="3"/>
        <v>55.350247766195693</v>
      </c>
      <c r="AE21" s="4">
        <f t="shared" si="3"/>
        <v>55.424303719279401</v>
      </c>
      <c r="AF21" s="4">
        <f t="shared" si="3"/>
        <v>54.412105112503369</v>
      </c>
      <c r="AG21" s="4">
        <f t="shared" si="3"/>
        <v>54.576171434007378</v>
      </c>
      <c r="AH21" s="4">
        <f t="shared" si="3"/>
        <v>54.143556217799976</v>
      </c>
      <c r="AI21" s="4">
        <f t="shared" si="3"/>
        <v>55.576771379413834</v>
      </c>
      <c r="AJ21" s="4">
        <f t="shared" si="3"/>
        <v>54.910776130632762</v>
      </c>
      <c r="AK21" s="4">
        <f t="shared" si="3"/>
        <v>54.807582986792028</v>
      </c>
      <c r="AL21" s="4">
        <f t="shared" si="3"/>
        <v>55.527416592268722</v>
      </c>
      <c r="AM21" s="4">
        <f t="shared" si="3"/>
        <v>55.045836061403399</v>
      </c>
      <c r="AN21" s="4">
        <f t="shared" si="3"/>
        <v>55.720933229891031</v>
      </c>
      <c r="AO21" s="4">
        <f t="shared" si="3"/>
        <v>53.066655333378357</v>
      </c>
      <c r="AP21" s="4">
        <f t="shared" si="3"/>
        <v>53.57235215946794</v>
      </c>
      <c r="AQ21" s="4">
        <f t="shared" si="3"/>
        <v>53.051575352679059</v>
      </c>
      <c r="AR21" s="4">
        <f t="shared" si="3"/>
        <v>53.553590614794821</v>
      </c>
      <c r="AS21" s="4">
        <f t="shared" si="3"/>
        <v>55.44951401631505</v>
      </c>
      <c r="AT21" s="4">
        <f t="shared" si="3"/>
        <v>53.353829647794548</v>
      </c>
      <c r="AU21" s="4">
        <f t="shared" si="3"/>
        <v>53.175549794050163</v>
      </c>
      <c r="AV21" s="4">
        <f t="shared" si="3"/>
        <v>55.847569549990965</v>
      </c>
      <c r="AW21" s="4">
        <f t="shared" si="3"/>
        <v>54.36585627338539</v>
      </c>
      <c r="AX21" s="4">
        <f t="shared" si="3"/>
        <v>53.311881171203098</v>
      </c>
      <c r="AY21" s="4">
        <f t="shared" si="3"/>
        <v>54.333904518576176</v>
      </c>
      <c r="AZ21" s="4">
        <f t="shared" si="3"/>
        <v>53.348999623211185</v>
      </c>
    </row>
    <row r="22" spans="1:52" ht="15.75" customHeight="1">
      <c r="A22" s="3">
        <v>28</v>
      </c>
      <c r="B22" s="3">
        <f t="shared" si="0"/>
        <v>68</v>
      </c>
      <c r="C22" s="4">
        <f t="shared" ref="C22:AZ22" si="4">$B22+C5</f>
        <v>67.770734957795639</v>
      </c>
      <c r="D22" s="4">
        <f t="shared" si="4"/>
        <v>69.530186715217383</v>
      </c>
      <c r="E22" s="4">
        <f t="shared" si="4"/>
        <v>69.072163709287764</v>
      </c>
      <c r="F22" s="4">
        <f t="shared" si="4"/>
        <v>68.932331806140979</v>
      </c>
      <c r="G22" s="4">
        <f t="shared" si="4"/>
        <v>67.91092233290432</v>
      </c>
      <c r="H22" s="4">
        <f t="shared" si="4"/>
        <v>68.904715515540587</v>
      </c>
      <c r="I22" s="4">
        <f t="shared" si="4"/>
        <v>69.40423901257229</v>
      </c>
      <c r="J22" s="4">
        <f t="shared" si="4"/>
        <v>69.538950820047049</v>
      </c>
      <c r="K22" s="4">
        <f t="shared" si="4"/>
        <v>68.756564270676577</v>
      </c>
      <c r="L22" s="4">
        <f t="shared" si="4"/>
        <v>68.725560230861632</v>
      </c>
      <c r="M22" s="4">
        <f t="shared" si="4"/>
        <v>67.450951988688942</v>
      </c>
      <c r="N22" s="4">
        <f t="shared" si="4"/>
        <v>68.663028202582865</v>
      </c>
      <c r="O22" s="4">
        <f t="shared" si="4"/>
        <v>69.469482745112003</v>
      </c>
      <c r="P22" s="4">
        <f t="shared" si="4"/>
        <v>67.917303811378119</v>
      </c>
      <c r="Q22" s="4">
        <f t="shared" si="4"/>
        <v>68.278172482467795</v>
      </c>
      <c r="R22" s="4">
        <f t="shared" si="4"/>
        <v>67.507919541675818</v>
      </c>
      <c r="S22" s="4">
        <f t="shared" si="4"/>
        <v>68.816692484503179</v>
      </c>
      <c r="T22" s="4">
        <f t="shared" si="4"/>
        <v>67.673649769971391</v>
      </c>
      <c r="U22" s="4">
        <f t="shared" si="4"/>
        <v>68.831859267309142</v>
      </c>
      <c r="V22" s="4">
        <f t="shared" si="4"/>
        <v>68.24114024231389</v>
      </c>
      <c r="W22" s="4">
        <f t="shared" si="4"/>
        <v>67.586236291837864</v>
      </c>
      <c r="X22" s="4">
        <f t="shared" si="4"/>
        <v>67.884198030110468</v>
      </c>
      <c r="Y22" s="4">
        <f t="shared" si="4"/>
        <v>67.259321348892598</v>
      </c>
      <c r="Z22" s="4">
        <f t="shared" si="4"/>
        <v>67.019438537530064</v>
      </c>
      <c r="AA22" s="4">
        <f t="shared" si="4"/>
        <v>67.238677239907432</v>
      </c>
      <c r="AB22" s="4">
        <f t="shared" si="4"/>
        <v>67.635744879719994</v>
      </c>
      <c r="AC22" s="4">
        <f t="shared" si="4"/>
        <v>68.97199555046123</v>
      </c>
      <c r="AD22" s="4">
        <f t="shared" si="4"/>
        <v>67.000501867399024</v>
      </c>
      <c r="AE22" s="4">
        <f t="shared" si="4"/>
        <v>68.118466242866134</v>
      </c>
      <c r="AF22" s="4">
        <f t="shared" si="4"/>
        <v>69.924825421929071</v>
      </c>
      <c r="AG22" s="4">
        <f t="shared" si="4"/>
        <v>68.398958898188823</v>
      </c>
      <c r="AH22" s="4">
        <f t="shared" si="4"/>
        <v>69.103015301947238</v>
      </c>
      <c r="AI22" s="4">
        <f t="shared" si="4"/>
        <v>69.799403867338455</v>
      </c>
      <c r="AJ22" s="4">
        <f t="shared" si="4"/>
        <v>67.968217602796656</v>
      </c>
      <c r="AK22" s="4">
        <f t="shared" si="4"/>
        <v>68.630394582183683</v>
      </c>
      <c r="AL22" s="4">
        <f t="shared" si="4"/>
        <v>69.526790702504996</v>
      </c>
      <c r="AM22" s="4">
        <f t="shared" si="4"/>
        <v>69.388415234996216</v>
      </c>
      <c r="AN22" s="4">
        <f t="shared" si="4"/>
        <v>67.748126318689174</v>
      </c>
      <c r="AO22" s="4">
        <f t="shared" si="4"/>
        <v>68.40023039161629</v>
      </c>
      <c r="AP22" s="4">
        <f t="shared" si="4"/>
        <v>69.294685498567418</v>
      </c>
      <c r="AQ22" s="4">
        <f t="shared" si="4"/>
        <v>68.861856559328132</v>
      </c>
      <c r="AR22" s="4">
        <f t="shared" si="4"/>
        <v>69.678766467339173</v>
      </c>
      <c r="AS22" s="4">
        <f t="shared" si="4"/>
        <v>68.107168019544858</v>
      </c>
      <c r="AT22" s="4">
        <f t="shared" si="4"/>
        <v>67.328029767242086</v>
      </c>
      <c r="AU22" s="4">
        <f t="shared" si="4"/>
        <v>67.758572190874858</v>
      </c>
      <c r="AV22" s="4">
        <f t="shared" si="4"/>
        <v>68.531063661327352</v>
      </c>
      <c r="AW22" s="4">
        <f t="shared" si="4"/>
        <v>69.823322635114948</v>
      </c>
      <c r="AX22" s="4">
        <f t="shared" si="4"/>
        <v>68.817280291184929</v>
      </c>
      <c r="AY22" s="4">
        <f t="shared" si="4"/>
        <v>67.803920929719254</v>
      </c>
      <c r="AZ22" s="4">
        <f t="shared" si="4"/>
        <v>67.002191475467711</v>
      </c>
    </row>
    <row r="23" spans="1:52" ht="15.75" customHeight="1">
      <c r="A23" s="3">
        <v>35</v>
      </c>
      <c r="B23" s="3">
        <f t="shared" si="0"/>
        <v>82</v>
      </c>
      <c r="C23" s="4">
        <f t="shared" ref="C23:AZ23" si="5">$B23+C6</f>
        <v>82.079815311352903</v>
      </c>
      <c r="D23" s="4">
        <f t="shared" si="5"/>
        <v>83.164651130092949</v>
      </c>
      <c r="E23" s="4">
        <f t="shared" si="5"/>
        <v>83.424963272339937</v>
      </c>
      <c r="F23" s="4">
        <f t="shared" si="5"/>
        <v>81.983534867277555</v>
      </c>
      <c r="G23" s="4">
        <f t="shared" si="5"/>
        <v>82.774840706134285</v>
      </c>
      <c r="H23" s="4">
        <f t="shared" si="5"/>
        <v>83.57870134074571</v>
      </c>
      <c r="I23" s="4">
        <f t="shared" si="5"/>
        <v>82.73342403391743</v>
      </c>
      <c r="J23" s="4">
        <f t="shared" si="5"/>
        <v>82.048510301349026</v>
      </c>
      <c r="K23" s="4">
        <f t="shared" si="5"/>
        <v>82.295976099584777</v>
      </c>
      <c r="L23" s="4">
        <f t="shared" si="5"/>
        <v>81.437914239036701</v>
      </c>
      <c r="M23" s="4">
        <f t="shared" si="5"/>
        <v>82.372887155776738</v>
      </c>
      <c r="N23" s="4">
        <f t="shared" si="5"/>
        <v>83.303702725288034</v>
      </c>
      <c r="O23" s="4">
        <f t="shared" si="5"/>
        <v>81.864607089786148</v>
      </c>
      <c r="P23" s="4">
        <f t="shared" si="5"/>
        <v>81.339306475172222</v>
      </c>
      <c r="Q23" s="4">
        <f t="shared" si="5"/>
        <v>83.766764204709474</v>
      </c>
      <c r="R23" s="4">
        <f t="shared" si="5"/>
        <v>81.505542005727293</v>
      </c>
      <c r="S23" s="4">
        <f t="shared" si="5"/>
        <v>81.117574008522411</v>
      </c>
      <c r="T23" s="4">
        <f t="shared" si="5"/>
        <v>81.868559891151335</v>
      </c>
      <c r="U23" s="4">
        <f t="shared" si="5"/>
        <v>82.02639903808965</v>
      </c>
      <c r="V23" s="4">
        <f t="shared" si="5"/>
        <v>83.694893403840197</v>
      </c>
      <c r="W23" s="4">
        <f t="shared" si="5"/>
        <v>81.542828441915844</v>
      </c>
      <c r="X23" s="4">
        <f t="shared" si="5"/>
        <v>81.295886117899499</v>
      </c>
      <c r="Y23" s="4">
        <f t="shared" si="5"/>
        <v>81.739904356450026</v>
      </c>
      <c r="Z23" s="4">
        <f t="shared" si="5"/>
        <v>83.649910697807215</v>
      </c>
      <c r="AA23" s="4">
        <f t="shared" si="5"/>
        <v>83.093129277631007</v>
      </c>
      <c r="AB23" s="4">
        <f t="shared" si="5"/>
        <v>83.96067314233629</v>
      </c>
      <c r="AC23" s="4">
        <f t="shared" si="5"/>
        <v>81.038647036292218</v>
      </c>
      <c r="AD23" s="4">
        <f t="shared" si="5"/>
        <v>82.033530555425415</v>
      </c>
      <c r="AE23" s="4">
        <f t="shared" si="5"/>
        <v>83.489497189241291</v>
      </c>
      <c r="AF23" s="4">
        <f t="shared" si="5"/>
        <v>82.669132092801902</v>
      </c>
      <c r="AG23" s="4">
        <f t="shared" si="5"/>
        <v>81.078101274797717</v>
      </c>
      <c r="AH23" s="4">
        <f t="shared" si="5"/>
        <v>82.184826705171218</v>
      </c>
      <c r="AI23" s="4">
        <f t="shared" si="5"/>
        <v>82.976146054845913</v>
      </c>
      <c r="AJ23" s="4">
        <f t="shared" si="5"/>
        <v>81.679163403962917</v>
      </c>
      <c r="AK23" s="4">
        <f t="shared" si="5"/>
        <v>83.319788045389956</v>
      </c>
      <c r="AL23" s="4">
        <f t="shared" si="5"/>
        <v>83.753442681269817</v>
      </c>
      <c r="AM23" s="4">
        <f t="shared" si="5"/>
        <v>83.538610138576018</v>
      </c>
      <c r="AN23" s="4">
        <f t="shared" si="5"/>
        <v>83.096660944898218</v>
      </c>
      <c r="AO23" s="4">
        <f t="shared" si="5"/>
        <v>81.251019828759212</v>
      </c>
      <c r="AP23" s="4">
        <f t="shared" si="5"/>
        <v>82.626322011456466</v>
      </c>
      <c r="AQ23" s="4">
        <f t="shared" si="5"/>
        <v>81.84678601636503</v>
      </c>
      <c r="AR23" s="4">
        <f t="shared" si="5"/>
        <v>82.757472966012003</v>
      </c>
      <c r="AS23" s="4">
        <f t="shared" si="5"/>
        <v>81.429169185355818</v>
      </c>
      <c r="AT23" s="4">
        <f t="shared" si="5"/>
        <v>81.845954496323088</v>
      </c>
      <c r="AU23" s="4">
        <f t="shared" si="5"/>
        <v>82.434607590334366</v>
      </c>
      <c r="AV23" s="4">
        <f t="shared" si="5"/>
        <v>83.919238321814504</v>
      </c>
      <c r="AW23" s="4">
        <f t="shared" si="5"/>
        <v>83.987180037105858</v>
      </c>
      <c r="AX23" s="4">
        <f t="shared" si="5"/>
        <v>82.469357352077921</v>
      </c>
      <c r="AY23" s="4">
        <f t="shared" si="5"/>
        <v>82.878073270027286</v>
      </c>
      <c r="AZ23" s="4">
        <f t="shared" si="5"/>
        <v>82.337317175394872</v>
      </c>
    </row>
    <row r="24" spans="1:52" ht="15.75" customHeight="1">
      <c r="A24" s="3">
        <v>42</v>
      </c>
      <c r="B24" s="3">
        <f t="shared" si="0"/>
        <v>96</v>
      </c>
      <c r="C24" s="4">
        <f t="shared" ref="C24:AZ24" si="6">$B24+C7</f>
        <v>95.907302074941541</v>
      </c>
      <c r="D24" s="4">
        <f t="shared" si="6"/>
        <v>95.659119118177188</v>
      </c>
      <c r="E24" s="4">
        <f t="shared" si="6"/>
        <v>96.762090473978915</v>
      </c>
      <c r="F24" s="4">
        <f t="shared" si="6"/>
        <v>97.670766691849025</v>
      </c>
      <c r="G24" s="4">
        <f t="shared" si="6"/>
        <v>95.032746282097875</v>
      </c>
      <c r="H24" s="4">
        <f t="shared" si="6"/>
        <v>95.064200610871225</v>
      </c>
      <c r="I24" s="4">
        <f t="shared" si="6"/>
        <v>95.379430974847565</v>
      </c>
      <c r="J24" s="4">
        <f t="shared" si="6"/>
        <v>97.008690031151147</v>
      </c>
      <c r="K24" s="4">
        <f t="shared" si="6"/>
        <v>97.014179346113195</v>
      </c>
      <c r="L24" s="4">
        <f t="shared" si="6"/>
        <v>96.501419994700584</v>
      </c>
      <c r="M24" s="4">
        <f t="shared" si="6"/>
        <v>95.426974295841575</v>
      </c>
      <c r="N24" s="4">
        <f t="shared" si="6"/>
        <v>96.600522865242297</v>
      </c>
      <c r="O24" s="4">
        <f t="shared" si="6"/>
        <v>96.76821374002698</v>
      </c>
      <c r="P24" s="4">
        <f t="shared" si="6"/>
        <v>95.915499725446963</v>
      </c>
      <c r="Q24" s="4">
        <f t="shared" si="6"/>
        <v>95.633754867085486</v>
      </c>
      <c r="R24" s="4">
        <f t="shared" si="6"/>
        <v>96.920064735453593</v>
      </c>
      <c r="S24" s="4">
        <f t="shared" si="6"/>
        <v>95.409853945829653</v>
      </c>
      <c r="T24" s="4">
        <f t="shared" si="6"/>
        <v>97.235453235736728</v>
      </c>
      <c r="U24" s="4">
        <f t="shared" si="6"/>
        <v>95.340202569125594</v>
      </c>
      <c r="V24" s="4">
        <f t="shared" si="6"/>
        <v>95.708992193857085</v>
      </c>
      <c r="W24" s="4">
        <f t="shared" si="6"/>
        <v>95.075894070806854</v>
      </c>
      <c r="X24" s="4">
        <f t="shared" si="6"/>
        <v>95.883239429264961</v>
      </c>
      <c r="Y24" s="4">
        <f t="shared" si="6"/>
        <v>97.661536672919055</v>
      </c>
      <c r="Z24" s="4">
        <f t="shared" si="6"/>
        <v>96.315255709405719</v>
      </c>
      <c r="AA24" s="4">
        <f t="shared" si="6"/>
        <v>96.69686279528274</v>
      </c>
      <c r="AB24" s="4">
        <f t="shared" si="6"/>
        <v>97.163581875046077</v>
      </c>
      <c r="AC24" s="4">
        <f t="shared" si="6"/>
        <v>95.793066561862645</v>
      </c>
      <c r="AD24" s="4">
        <f t="shared" si="6"/>
        <v>95.512250684228334</v>
      </c>
      <c r="AE24" s="4">
        <f t="shared" si="6"/>
        <v>96.416734613579706</v>
      </c>
      <c r="AF24" s="4">
        <f t="shared" si="6"/>
        <v>96.04667123975706</v>
      </c>
      <c r="AG24" s="4">
        <f t="shared" si="6"/>
        <v>96.781617990925511</v>
      </c>
      <c r="AH24" s="4">
        <f t="shared" si="6"/>
        <v>95.935481090205641</v>
      </c>
      <c r="AI24" s="4">
        <f t="shared" si="6"/>
        <v>95.609625692987905</v>
      </c>
      <c r="AJ24" s="4">
        <f t="shared" si="6"/>
        <v>97.105469783086278</v>
      </c>
      <c r="AK24" s="4">
        <f t="shared" si="6"/>
        <v>97.337303388355224</v>
      </c>
      <c r="AL24" s="4">
        <f t="shared" si="6"/>
        <v>96.523434448295376</v>
      </c>
      <c r="AM24" s="4">
        <f t="shared" si="6"/>
        <v>97.692693498826472</v>
      </c>
      <c r="AN24" s="4">
        <f t="shared" si="6"/>
        <v>95.619336685122178</v>
      </c>
      <c r="AO24" s="4">
        <f t="shared" si="6"/>
        <v>96.509855469111486</v>
      </c>
      <c r="AP24" s="4">
        <f t="shared" si="6"/>
        <v>95.599387159921235</v>
      </c>
      <c r="AQ24" s="4">
        <f t="shared" si="6"/>
        <v>96.184458756258806</v>
      </c>
      <c r="AR24" s="4">
        <f t="shared" si="6"/>
        <v>97.105692814627957</v>
      </c>
      <c r="AS24" s="4">
        <f t="shared" si="6"/>
        <v>96.303742240814003</v>
      </c>
      <c r="AT24" s="4">
        <f t="shared" si="6"/>
        <v>96.48085856271662</v>
      </c>
      <c r="AU24" s="4">
        <f t="shared" si="6"/>
        <v>97.70776851696445</v>
      </c>
      <c r="AV24" s="4">
        <f t="shared" si="6"/>
        <v>96.791443968006533</v>
      </c>
      <c r="AW24" s="4">
        <f t="shared" si="6"/>
        <v>97.556282708611306</v>
      </c>
      <c r="AX24" s="4">
        <f t="shared" si="6"/>
        <v>95.753432786993102</v>
      </c>
      <c r="AY24" s="4">
        <f t="shared" si="6"/>
        <v>96.886619132297795</v>
      </c>
      <c r="AZ24" s="4">
        <f t="shared" si="6"/>
        <v>96.785881016438992</v>
      </c>
    </row>
    <row r="25" spans="1:52" ht="15.75" customHeight="1">
      <c r="A25" s="3">
        <v>49</v>
      </c>
      <c r="B25" s="3">
        <f t="shared" si="0"/>
        <v>110</v>
      </c>
      <c r="C25" s="4">
        <f t="shared" ref="C25:AZ25" si="7">$B25+C8</f>
        <v>109.74686746545981</v>
      </c>
      <c r="D25" s="4">
        <f t="shared" si="7"/>
        <v>110.90870615435951</v>
      </c>
      <c r="E25" s="4">
        <f t="shared" si="7"/>
        <v>109.9071969825247</v>
      </c>
      <c r="F25" s="4">
        <f t="shared" si="7"/>
        <v>110.33584045083838</v>
      </c>
      <c r="G25" s="4">
        <f t="shared" si="7"/>
        <v>111.10839741890717</v>
      </c>
      <c r="H25" s="4">
        <f t="shared" si="7"/>
        <v>111.79534798734171</v>
      </c>
      <c r="I25" s="4">
        <f t="shared" si="7"/>
        <v>109.95243553038424</v>
      </c>
      <c r="J25" s="4">
        <f t="shared" si="7"/>
        <v>110.02414162767981</v>
      </c>
      <c r="K25" s="4">
        <f t="shared" si="7"/>
        <v>111.38658634845537</v>
      </c>
      <c r="L25" s="4">
        <f t="shared" si="7"/>
        <v>111.50147092076634</v>
      </c>
      <c r="M25" s="4">
        <f t="shared" si="7"/>
        <v>110.31828804599238</v>
      </c>
      <c r="N25" s="4">
        <f t="shared" si="7"/>
        <v>109.7409987042234</v>
      </c>
      <c r="O25" s="4">
        <f t="shared" si="7"/>
        <v>109.59447312358486</v>
      </c>
      <c r="P25" s="4">
        <f t="shared" si="7"/>
        <v>111.43384998413289</v>
      </c>
      <c r="Q25" s="4">
        <f t="shared" si="7"/>
        <v>109.25708823549827</v>
      </c>
      <c r="R25" s="4">
        <f t="shared" si="7"/>
        <v>109.64975577396751</v>
      </c>
      <c r="S25" s="4">
        <f t="shared" si="7"/>
        <v>110.72577357760117</v>
      </c>
      <c r="T25" s="4">
        <f t="shared" si="7"/>
        <v>111.96454748603841</v>
      </c>
      <c r="U25" s="4">
        <f t="shared" si="7"/>
        <v>109.39167966758642</v>
      </c>
      <c r="V25" s="4">
        <f t="shared" si="7"/>
        <v>110.63714044941472</v>
      </c>
      <c r="W25" s="4">
        <f t="shared" si="7"/>
        <v>109.03315789816531</v>
      </c>
      <c r="X25" s="4">
        <f t="shared" si="7"/>
        <v>111.80777749374981</v>
      </c>
      <c r="Y25" s="4">
        <f t="shared" si="7"/>
        <v>111.48456853092992</v>
      </c>
      <c r="Z25" s="4">
        <f t="shared" si="7"/>
        <v>110.13168707692974</v>
      </c>
      <c r="AA25" s="4">
        <f t="shared" si="7"/>
        <v>110.10370817663879</v>
      </c>
      <c r="AB25" s="4">
        <f t="shared" si="7"/>
        <v>110.29844250843499</v>
      </c>
      <c r="AC25" s="4">
        <f t="shared" si="7"/>
        <v>109.79136577339084</v>
      </c>
      <c r="AD25" s="4">
        <f t="shared" si="7"/>
        <v>111.51719184376597</v>
      </c>
      <c r="AE25" s="4">
        <f t="shared" si="7"/>
        <v>111.61827498027215</v>
      </c>
      <c r="AF25" s="4">
        <f t="shared" si="7"/>
        <v>110.27156150648644</v>
      </c>
      <c r="AG25" s="4">
        <f t="shared" si="7"/>
        <v>111.51023760806854</v>
      </c>
      <c r="AH25" s="4">
        <f t="shared" si="7"/>
        <v>109.46541817469708</v>
      </c>
      <c r="AI25" s="4">
        <f t="shared" si="7"/>
        <v>110.9314514722642</v>
      </c>
      <c r="AJ25" s="4">
        <f t="shared" si="7"/>
        <v>110.49180767173048</v>
      </c>
      <c r="AK25" s="4">
        <f t="shared" si="7"/>
        <v>110.08908307699849</v>
      </c>
      <c r="AL25" s="4">
        <f t="shared" si="7"/>
        <v>110.76227148996685</v>
      </c>
      <c r="AM25" s="4">
        <f t="shared" si="7"/>
        <v>110.85888402567744</v>
      </c>
      <c r="AN25" s="4">
        <f t="shared" si="7"/>
        <v>110.8323747281858</v>
      </c>
      <c r="AO25" s="4">
        <f t="shared" si="7"/>
        <v>109.40215732232659</v>
      </c>
      <c r="AP25" s="4">
        <f t="shared" si="7"/>
        <v>110.45166199766574</v>
      </c>
      <c r="AQ25" s="4">
        <f t="shared" si="7"/>
        <v>109.30863796799541</v>
      </c>
      <c r="AR25" s="4">
        <f t="shared" si="7"/>
        <v>110.65239075695769</v>
      </c>
      <c r="AS25" s="4">
        <f t="shared" si="7"/>
        <v>111.05785959103744</v>
      </c>
      <c r="AT25" s="4">
        <f t="shared" si="7"/>
        <v>110.37127409305818</v>
      </c>
      <c r="AU25" s="4">
        <f t="shared" si="7"/>
        <v>111.6433373501534</v>
      </c>
      <c r="AV25" s="4">
        <f t="shared" si="7"/>
        <v>109.07209804185341</v>
      </c>
      <c r="AW25" s="4">
        <f t="shared" si="7"/>
        <v>110.34940434739022</v>
      </c>
      <c r="AX25" s="4">
        <f t="shared" si="7"/>
        <v>109.40446129873925</v>
      </c>
      <c r="AY25" s="4">
        <f t="shared" si="7"/>
        <v>111.90979727997097</v>
      </c>
      <c r="AZ25" s="4">
        <f t="shared" si="7"/>
        <v>109.09501777515089</v>
      </c>
    </row>
    <row r="26" spans="1:52" ht="15.75" customHeight="1">
      <c r="A26" s="3">
        <v>56</v>
      </c>
      <c r="B26" s="3">
        <f t="shared" si="0"/>
        <v>124</v>
      </c>
      <c r="C26" s="4">
        <f t="shared" ref="C26:AZ26" si="8">$B26+C9</f>
        <v>123.16462441277272</v>
      </c>
      <c r="D26" s="4">
        <f t="shared" si="8"/>
        <v>125.59182464232246</v>
      </c>
      <c r="E26" s="4">
        <f t="shared" si="8"/>
        <v>125.77880568129117</v>
      </c>
      <c r="F26" s="4">
        <f t="shared" si="8"/>
        <v>125.6501689921872</v>
      </c>
      <c r="G26" s="4">
        <f t="shared" si="8"/>
        <v>125.00575362832333</v>
      </c>
      <c r="H26" s="4">
        <f t="shared" si="8"/>
        <v>125.52014230707167</v>
      </c>
      <c r="I26" s="4">
        <f t="shared" si="8"/>
        <v>125.76268058294541</v>
      </c>
      <c r="J26" s="4">
        <f t="shared" si="8"/>
        <v>125.53342196890426</v>
      </c>
      <c r="K26" s="4">
        <f t="shared" si="8"/>
        <v>123.16541117401242</v>
      </c>
      <c r="L26" s="4">
        <f t="shared" si="8"/>
        <v>124.60993578748936</v>
      </c>
      <c r="M26" s="4">
        <f t="shared" si="8"/>
        <v>123.50994536836248</v>
      </c>
      <c r="N26" s="4">
        <f t="shared" si="8"/>
        <v>125.66076456952918</v>
      </c>
      <c r="O26" s="4">
        <f t="shared" si="8"/>
        <v>124.2613966119571</v>
      </c>
      <c r="P26" s="4">
        <f t="shared" si="8"/>
        <v>124.85088243882835</v>
      </c>
      <c r="Q26" s="4">
        <f t="shared" si="8"/>
        <v>125.40098183574094</v>
      </c>
      <c r="R26" s="4">
        <f t="shared" si="8"/>
        <v>124.46938465383806</v>
      </c>
      <c r="S26" s="4">
        <f t="shared" si="8"/>
        <v>125.79912433242697</v>
      </c>
      <c r="T26" s="4">
        <f t="shared" si="8"/>
        <v>124.14411124606028</v>
      </c>
      <c r="U26" s="4">
        <f t="shared" si="8"/>
        <v>125.19386214294244</v>
      </c>
      <c r="V26" s="4">
        <f t="shared" si="8"/>
        <v>123.22058187843778</v>
      </c>
      <c r="W26" s="4">
        <f t="shared" si="8"/>
        <v>124.85863809715465</v>
      </c>
      <c r="X26" s="4">
        <f t="shared" si="8"/>
        <v>124.30191584713377</v>
      </c>
      <c r="Y26" s="4">
        <f t="shared" si="8"/>
        <v>124.1421801419104</v>
      </c>
      <c r="Z26" s="4">
        <f t="shared" si="8"/>
        <v>124.21691836633997</v>
      </c>
      <c r="AA26" s="4">
        <f t="shared" si="8"/>
        <v>124.75556362498882</v>
      </c>
      <c r="AB26" s="4">
        <f t="shared" si="8"/>
        <v>123.04777255322976</v>
      </c>
      <c r="AC26" s="4">
        <f t="shared" si="8"/>
        <v>125.96767981771046</v>
      </c>
      <c r="AD26" s="4">
        <f t="shared" si="8"/>
        <v>125.30678391683961</v>
      </c>
      <c r="AE26" s="4">
        <f t="shared" si="8"/>
        <v>123.75021786692041</v>
      </c>
      <c r="AF26" s="4">
        <f t="shared" si="8"/>
        <v>123.90338242375822</v>
      </c>
      <c r="AG26" s="4">
        <f t="shared" si="8"/>
        <v>125.38690013673713</v>
      </c>
      <c r="AH26" s="4">
        <f t="shared" si="8"/>
        <v>124.18809457688653</v>
      </c>
      <c r="AI26" s="4">
        <f t="shared" si="8"/>
        <v>123.12909382985407</v>
      </c>
      <c r="AJ26" s="4">
        <f t="shared" si="8"/>
        <v>123.09945607013498</v>
      </c>
      <c r="AK26" s="4">
        <f t="shared" si="8"/>
        <v>125.14105450967057</v>
      </c>
      <c r="AL26" s="4">
        <f t="shared" si="8"/>
        <v>125.27284326475241</v>
      </c>
      <c r="AM26" s="4">
        <f t="shared" si="8"/>
        <v>123.23293963340879</v>
      </c>
      <c r="AN26" s="4">
        <f t="shared" si="8"/>
        <v>125.8969596574869</v>
      </c>
      <c r="AO26" s="4">
        <f t="shared" si="8"/>
        <v>123.7283640470678</v>
      </c>
      <c r="AP26" s="4">
        <f t="shared" si="8"/>
        <v>123.12422105111447</v>
      </c>
      <c r="AQ26" s="4">
        <f t="shared" si="8"/>
        <v>124.25565048775607</v>
      </c>
      <c r="AR26" s="4">
        <f t="shared" si="8"/>
        <v>125.95554133711786</v>
      </c>
      <c r="AS26" s="4">
        <f t="shared" si="8"/>
        <v>125.28806305904136</v>
      </c>
      <c r="AT26" s="4">
        <f t="shared" si="8"/>
        <v>125.72802822794291</v>
      </c>
      <c r="AU26" s="4">
        <f t="shared" si="8"/>
        <v>124.88819241834047</v>
      </c>
      <c r="AV26" s="4">
        <f t="shared" si="8"/>
        <v>124.63585645222363</v>
      </c>
      <c r="AW26" s="4">
        <f t="shared" si="8"/>
        <v>125.3352957757442</v>
      </c>
      <c r="AX26" s="4">
        <f t="shared" si="8"/>
        <v>125.11009346483941</v>
      </c>
      <c r="AY26" s="4">
        <f t="shared" si="8"/>
        <v>123.13177665645941</v>
      </c>
      <c r="AZ26" s="4">
        <f t="shared" si="8"/>
        <v>124.37251053362164</v>
      </c>
    </row>
    <row r="27" spans="1:52" ht="15.75" customHeight="1">
      <c r="A27" s="3">
        <v>63</v>
      </c>
      <c r="B27" s="3">
        <f t="shared" si="0"/>
        <v>138</v>
      </c>
      <c r="C27" s="4">
        <f t="shared" ref="C27:AZ27" si="9">$B27+C10</f>
        <v>139.74105020213</v>
      </c>
      <c r="D27" s="4">
        <f t="shared" si="9"/>
        <v>139.96732533480716</v>
      </c>
      <c r="E27" s="4">
        <f t="shared" si="9"/>
        <v>139.95809551709641</v>
      </c>
      <c r="F27" s="4">
        <f t="shared" si="9"/>
        <v>138.23590907253589</v>
      </c>
      <c r="G27" s="4">
        <f t="shared" si="9"/>
        <v>137.23437698030543</v>
      </c>
      <c r="H27" s="4">
        <f t="shared" si="9"/>
        <v>138.84519274851172</v>
      </c>
      <c r="I27" s="4">
        <f t="shared" si="9"/>
        <v>137.28309486689702</v>
      </c>
      <c r="J27" s="4">
        <f t="shared" si="9"/>
        <v>138.29207054875087</v>
      </c>
      <c r="K27" s="4">
        <f t="shared" si="9"/>
        <v>137.3399594114162</v>
      </c>
      <c r="L27" s="4">
        <f t="shared" si="9"/>
        <v>137.69131011264861</v>
      </c>
      <c r="M27" s="4">
        <f t="shared" si="9"/>
        <v>137.84913155174431</v>
      </c>
      <c r="N27" s="4">
        <f t="shared" si="9"/>
        <v>137.47619379452976</v>
      </c>
      <c r="O27" s="4">
        <f t="shared" si="9"/>
        <v>137.37878285935329</v>
      </c>
      <c r="P27" s="4">
        <f t="shared" si="9"/>
        <v>139.71517725186686</v>
      </c>
      <c r="Q27" s="4">
        <f t="shared" si="9"/>
        <v>139.20435427963156</v>
      </c>
      <c r="R27" s="4">
        <f t="shared" si="9"/>
        <v>138.60618035198934</v>
      </c>
      <c r="S27" s="4">
        <f t="shared" si="9"/>
        <v>139.14310124310938</v>
      </c>
      <c r="T27" s="4">
        <f t="shared" si="9"/>
        <v>137.27750820674419</v>
      </c>
      <c r="U27" s="4">
        <f t="shared" si="9"/>
        <v>137.46277096167421</v>
      </c>
      <c r="V27" s="4">
        <f t="shared" si="9"/>
        <v>137.18553303252074</v>
      </c>
      <c r="W27" s="4">
        <f t="shared" si="9"/>
        <v>137.02026484790107</v>
      </c>
      <c r="X27" s="4">
        <f t="shared" si="9"/>
        <v>138.15415007408529</v>
      </c>
      <c r="Y27" s="4">
        <f t="shared" si="9"/>
        <v>139.21289715109737</v>
      </c>
      <c r="Z27" s="4">
        <f t="shared" si="9"/>
        <v>137.44965403806765</v>
      </c>
      <c r="AA27" s="4">
        <f t="shared" si="9"/>
        <v>139.84536909219653</v>
      </c>
      <c r="AB27" s="4">
        <f t="shared" si="9"/>
        <v>139.22706489538348</v>
      </c>
      <c r="AC27" s="4">
        <f t="shared" si="9"/>
        <v>139.62983466013017</v>
      </c>
      <c r="AD27" s="4">
        <f t="shared" si="9"/>
        <v>138.22006523010006</v>
      </c>
      <c r="AE27" s="4">
        <f t="shared" si="9"/>
        <v>139.74444293400106</v>
      </c>
      <c r="AF27" s="4">
        <f t="shared" si="9"/>
        <v>137.67659328517951</v>
      </c>
      <c r="AG27" s="4">
        <f t="shared" si="9"/>
        <v>139.67749927844034</v>
      </c>
      <c r="AH27" s="4">
        <f t="shared" si="9"/>
        <v>137.26576976142104</v>
      </c>
      <c r="AI27" s="4">
        <f t="shared" si="9"/>
        <v>137.47989529055357</v>
      </c>
      <c r="AJ27" s="4">
        <f t="shared" si="9"/>
        <v>139.99921840537064</v>
      </c>
      <c r="AK27" s="4">
        <f t="shared" si="9"/>
        <v>138.53771587971767</v>
      </c>
      <c r="AL27" s="4">
        <f t="shared" si="9"/>
        <v>139.12097335089595</v>
      </c>
      <c r="AM27" s="4">
        <f t="shared" si="9"/>
        <v>137.05993875828327</v>
      </c>
      <c r="AN27" s="4">
        <f t="shared" si="9"/>
        <v>139.42504949129344</v>
      </c>
      <c r="AO27" s="4">
        <f t="shared" si="9"/>
        <v>137.65290027962416</v>
      </c>
      <c r="AP27" s="4">
        <f t="shared" si="9"/>
        <v>138.55838430448284</v>
      </c>
      <c r="AQ27" s="4">
        <f t="shared" si="9"/>
        <v>137.62370904443256</v>
      </c>
      <c r="AR27" s="4">
        <f t="shared" si="9"/>
        <v>137.5592429768397</v>
      </c>
      <c r="AS27" s="4">
        <f t="shared" si="9"/>
        <v>137.01904603486244</v>
      </c>
      <c r="AT27" s="4">
        <f t="shared" si="9"/>
        <v>138.16731083832533</v>
      </c>
      <c r="AU27" s="4">
        <f t="shared" si="9"/>
        <v>139.86379897251226</v>
      </c>
      <c r="AV27" s="4">
        <f t="shared" si="9"/>
        <v>137.32158067029874</v>
      </c>
      <c r="AW27" s="4">
        <f t="shared" si="9"/>
        <v>139.61573515169866</v>
      </c>
      <c r="AX27" s="4">
        <f t="shared" si="9"/>
        <v>137.73577454651573</v>
      </c>
      <c r="AY27" s="4">
        <f t="shared" si="9"/>
        <v>139.49792571886456</v>
      </c>
      <c r="AZ27" s="4">
        <f t="shared" si="9"/>
        <v>139.50842324425167</v>
      </c>
    </row>
    <row r="28" spans="1:52" ht="15.75" customHeight="1">
      <c r="A28" s="3">
        <v>70</v>
      </c>
      <c r="B28" s="3">
        <f t="shared" si="0"/>
        <v>152</v>
      </c>
      <c r="C28" s="4">
        <f t="shared" ref="C28:AZ28" si="10">$B28+C11</f>
        <v>151.23149568854782</v>
      </c>
      <c r="D28" s="4">
        <f t="shared" si="10"/>
        <v>151.25720102118976</v>
      </c>
      <c r="E28" s="4">
        <f t="shared" si="10"/>
        <v>152.44264246576643</v>
      </c>
      <c r="F28" s="4">
        <f t="shared" si="10"/>
        <v>151.68840414400643</v>
      </c>
      <c r="G28" s="4">
        <f t="shared" si="10"/>
        <v>152.63408597490016</v>
      </c>
      <c r="H28" s="4">
        <f t="shared" si="10"/>
        <v>151.585954733459</v>
      </c>
      <c r="I28" s="4">
        <f t="shared" si="10"/>
        <v>152.73747618722172</v>
      </c>
      <c r="J28" s="4">
        <f t="shared" si="10"/>
        <v>151.27247559276867</v>
      </c>
      <c r="K28" s="4">
        <f t="shared" si="10"/>
        <v>151.80702550218865</v>
      </c>
      <c r="L28" s="4">
        <f t="shared" si="10"/>
        <v>153.09084044141059</v>
      </c>
      <c r="M28" s="4">
        <f t="shared" si="10"/>
        <v>151.26934702480781</v>
      </c>
      <c r="N28" s="4">
        <f t="shared" si="10"/>
        <v>152.29295746813753</v>
      </c>
      <c r="O28" s="4">
        <f t="shared" si="10"/>
        <v>152.16153339872784</v>
      </c>
      <c r="P28" s="4">
        <f t="shared" si="10"/>
        <v>151.69259564702728</v>
      </c>
      <c r="Q28" s="4">
        <f t="shared" si="10"/>
        <v>152.90639533967314</v>
      </c>
      <c r="R28" s="4">
        <f t="shared" si="10"/>
        <v>152.10627150456736</v>
      </c>
      <c r="S28" s="4">
        <f t="shared" si="10"/>
        <v>152.39741262914782</v>
      </c>
      <c r="T28" s="4">
        <f t="shared" si="10"/>
        <v>153.00172080430457</v>
      </c>
      <c r="U28" s="4">
        <f t="shared" si="10"/>
        <v>151.98333294108338</v>
      </c>
      <c r="V28" s="4">
        <f t="shared" si="10"/>
        <v>152.26273894545884</v>
      </c>
      <c r="W28" s="4">
        <f t="shared" si="10"/>
        <v>151.35348622933952</v>
      </c>
      <c r="X28" s="4">
        <f t="shared" si="10"/>
        <v>153.56218018009639</v>
      </c>
      <c r="Y28" s="4">
        <f t="shared" si="10"/>
        <v>151.32976620042436</v>
      </c>
      <c r="Z28" s="4">
        <f t="shared" si="10"/>
        <v>152.51166453850556</v>
      </c>
      <c r="AA28" s="4">
        <f t="shared" si="10"/>
        <v>153.16986204229812</v>
      </c>
      <c r="AB28" s="4">
        <f t="shared" si="10"/>
        <v>152.52704876981934</v>
      </c>
      <c r="AC28" s="4">
        <f t="shared" si="10"/>
        <v>152.17870726389285</v>
      </c>
      <c r="AD28" s="4">
        <f t="shared" si="10"/>
        <v>153.21297568124078</v>
      </c>
      <c r="AE28" s="4">
        <f t="shared" si="10"/>
        <v>152.21124500236314</v>
      </c>
      <c r="AF28" s="4">
        <f t="shared" si="10"/>
        <v>153.02782354903655</v>
      </c>
      <c r="AG28" s="4">
        <f t="shared" si="10"/>
        <v>152.0294918916957</v>
      </c>
      <c r="AH28" s="4">
        <f t="shared" si="10"/>
        <v>151.04213572982454</v>
      </c>
      <c r="AI28" s="4">
        <f t="shared" si="10"/>
        <v>153.45051540813296</v>
      </c>
      <c r="AJ28" s="4">
        <f t="shared" si="10"/>
        <v>153.74911809072512</v>
      </c>
      <c r="AK28" s="4">
        <f t="shared" si="10"/>
        <v>153.7893228427352</v>
      </c>
      <c r="AL28" s="4">
        <f t="shared" si="10"/>
        <v>151.12504960866798</v>
      </c>
      <c r="AM28" s="4">
        <f t="shared" si="10"/>
        <v>152.2617920452881</v>
      </c>
      <c r="AN28" s="4">
        <f t="shared" si="10"/>
        <v>152.47045937314044</v>
      </c>
      <c r="AO28" s="4">
        <f t="shared" si="10"/>
        <v>153.76765760827269</v>
      </c>
      <c r="AP28" s="4">
        <f t="shared" si="10"/>
        <v>151.98968126292709</v>
      </c>
      <c r="AQ28" s="4">
        <f t="shared" si="10"/>
        <v>152.82219897958024</v>
      </c>
      <c r="AR28" s="4">
        <f t="shared" si="10"/>
        <v>152.58690510027682</v>
      </c>
      <c r="AS28" s="4">
        <f t="shared" si="10"/>
        <v>152.3476588994578</v>
      </c>
      <c r="AT28" s="4">
        <f t="shared" si="10"/>
        <v>151.97110087539599</v>
      </c>
      <c r="AU28" s="4">
        <f t="shared" si="10"/>
        <v>153.5715547396604</v>
      </c>
      <c r="AV28" s="4">
        <f t="shared" si="10"/>
        <v>151.87020082922371</v>
      </c>
      <c r="AW28" s="4">
        <f t="shared" si="10"/>
        <v>153.40892701259054</v>
      </c>
      <c r="AX28" s="4">
        <f t="shared" si="10"/>
        <v>151.95668136747929</v>
      </c>
      <c r="AY28" s="4">
        <f t="shared" si="10"/>
        <v>151.42920255354133</v>
      </c>
      <c r="AZ28" s="4">
        <f t="shared" si="10"/>
        <v>151.9821953381757</v>
      </c>
    </row>
    <row r="29" spans="1:52" ht="15.75" customHeight="1">
      <c r="A29" s="3">
        <v>77</v>
      </c>
      <c r="B29" s="3">
        <f t="shared" si="0"/>
        <v>166</v>
      </c>
      <c r="C29" s="4">
        <f t="shared" ref="C29:AZ29" si="11">$B29+C12</f>
        <v>167.03345039571883</v>
      </c>
      <c r="D29" s="4">
        <f t="shared" si="11"/>
        <v>165.00561561891763</v>
      </c>
      <c r="E29" s="4">
        <f t="shared" si="11"/>
        <v>166.72802080808458</v>
      </c>
      <c r="F29" s="4">
        <f t="shared" si="11"/>
        <v>165.27413471508643</v>
      </c>
      <c r="G29" s="4">
        <f t="shared" si="11"/>
        <v>165.14728318618077</v>
      </c>
      <c r="H29" s="4">
        <f t="shared" si="11"/>
        <v>167.72586263184539</v>
      </c>
      <c r="I29" s="4">
        <f t="shared" si="11"/>
        <v>165.52039842699918</v>
      </c>
      <c r="J29" s="4">
        <f t="shared" si="11"/>
        <v>165.48232326803972</v>
      </c>
      <c r="K29" s="4">
        <f t="shared" si="11"/>
        <v>167.01495226365958</v>
      </c>
      <c r="L29" s="4">
        <f t="shared" si="11"/>
        <v>165.24742959379643</v>
      </c>
      <c r="M29" s="4">
        <f t="shared" si="11"/>
        <v>166.68792123488967</v>
      </c>
      <c r="N29" s="4">
        <f t="shared" si="11"/>
        <v>165.14041379781537</v>
      </c>
      <c r="O29" s="4">
        <f t="shared" si="11"/>
        <v>165.98940833154117</v>
      </c>
      <c r="P29" s="4">
        <f t="shared" si="11"/>
        <v>167.7897028092307</v>
      </c>
      <c r="Q29" s="4">
        <f t="shared" si="11"/>
        <v>166.87734534138906</v>
      </c>
      <c r="R29" s="4">
        <f t="shared" si="11"/>
        <v>165.19759629675102</v>
      </c>
      <c r="S29" s="4">
        <f t="shared" si="11"/>
        <v>165.15311657160962</v>
      </c>
      <c r="T29" s="4">
        <f t="shared" si="11"/>
        <v>167.35923713666901</v>
      </c>
      <c r="U29" s="4">
        <f t="shared" si="11"/>
        <v>166.27356700499575</v>
      </c>
      <c r="V29" s="4">
        <f t="shared" si="11"/>
        <v>167.68674722602304</v>
      </c>
      <c r="W29" s="4">
        <f t="shared" si="11"/>
        <v>165.63411473146641</v>
      </c>
      <c r="X29" s="4">
        <f t="shared" si="11"/>
        <v>165.95053408477119</v>
      </c>
      <c r="Y29" s="4">
        <f t="shared" si="11"/>
        <v>167.15069663956911</v>
      </c>
      <c r="Z29" s="4">
        <f t="shared" si="11"/>
        <v>167.7046569247747</v>
      </c>
      <c r="AA29" s="4">
        <f t="shared" si="11"/>
        <v>166.89503274236063</v>
      </c>
      <c r="AB29" s="4">
        <f t="shared" si="11"/>
        <v>167.01177325867062</v>
      </c>
      <c r="AC29" s="4">
        <f t="shared" si="11"/>
        <v>166.55820364681094</v>
      </c>
      <c r="AD29" s="4">
        <f t="shared" si="11"/>
        <v>167.72557007904916</v>
      </c>
      <c r="AE29" s="4">
        <f t="shared" si="11"/>
        <v>166.63179244461043</v>
      </c>
      <c r="AF29" s="4">
        <f t="shared" si="11"/>
        <v>166.62471656169186</v>
      </c>
      <c r="AG29" s="4">
        <f t="shared" si="11"/>
        <v>165.40385080278872</v>
      </c>
      <c r="AH29" s="4">
        <f t="shared" si="11"/>
        <v>167.32225794226139</v>
      </c>
      <c r="AI29" s="4">
        <f t="shared" si="11"/>
        <v>165.16870637405276</v>
      </c>
      <c r="AJ29" s="4">
        <f t="shared" si="11"/>
        <v>165.09800311589228</v>
      </c>
      <c r="AK29" s="4">
        <f t="shared" si="11"/>
        <v>166.44513694518301</v>
      </c>
      <c r="AL29" s="4">
        <f t="shared" si="11"/>
        <v>166.61884101756951</v>
      </c>
      <c r="AM29" s="4">
        <f t="shared" si="11"/>
        <v>166.4866940004373</v>
      </c>
      <c r="AN29" s="4">
        <f t="shared" si="11"/>
        <v>167.92305429910314</v>
      </c>
      <c r="AO29" s="4">
        <f t="shared" si="11"/>
        <v>165.95096666696256</v>
      </c>
      <c r="AP29" s="4">
        <f t="shared" si="11"/>
        <v>166.04958091623163</v>
      </c>
      <c r="AQ29" s="4">
        <f t="shared" si="11"/>
        <v>167.27133455746537</v>
      </c>
      <c r="AR29" s="4">
        <f t="shared" si="11"/>
        <v>167.29180736109996</v>
      </c>
      <c r="AS29" s="4">
        <f t="shared" si="11"/>
        <v>167.04526587492828</v>
      </c>
      <c r="AT29" s="4">
        <f t="shared" si="11"/>
        <v>167.24786037798037</v>
      </c>
      <c r="AU29" s="4">
        <f t="shared" si="11"/>
        <v>165.6174750565564</v>
      </c>
      <c r="AV29" s="4">
        <f t="shared" si="11"/>
        <v>167.62549624916821</v>
      </c>
      <c r="AW29" s="4">
        <f t="shared" si="11"/>
        <v>166.99426189647841</v>
      </c>
      <c r="AX29" s="4">
        <f t="shared" si="11"/>
        <v>165.13956986202643</v>
      </c>
      <c r="AY29" s="4">
        <f t="shared" si="11"/>
        <v>167.27711210995218</v>
      </c>
      <c r="AZ29" s="4">
        <f t="shared" si="11"/>
        <v>165.81369872409175</v>
      </c>
    </row>
    <row r="30" spans="1:52" ht="15.75" customHeight="1">
      <c r="A30" s="3">
        <v>84</v>
      </c>
      <c r="B30" s="3">
        <f t="shared" si="0"/>
        <v>180</v>
      </c>
      <c r="C30" s="4">
        <f t="shared" ref="C30:AZ30" si="12">$B30+C13</f>
        <v>179.19841112309103</v>
      </c>
      <c r="D30" s="4">
        <f t="shared" si="12"/>
        <v>179.86357432252115</v>
      </c>
      <c r="E30" s="4">
        <f t="shared" si="12"/>
        <v>180.17522768707431</v>
      </c>
      <c r="F30" s="4">
        <f t="shared" si="12"/>
        <v>181.17245976026109</v>
      </c>
      <c r="G30" s="4">
        <f t="shared" si="12"/>
        <v>181.40184976271519</v>
      </c>
      <c r="H30" s="4">
        <f t="shared" si="12"/>
        <v>179.93689426576805</v>
      </c>
      <c r="I30" s="4">
        <f t="shared" si="12"/>
        <v>181.67491716445377</v>
      </c>
      <c r="J30" s="4">
        <f t="shared" si="12"/>
        <v>180.30213688529301</v>
      </c>
      <c r="K30" s="4">
        <f t="shared" si="12"/>
        <v>181.15229947576535</v>
      </c>
      <c r="L30" s="4">
        <f t="shared" si="12"/>
        <v>179.09196029231555</v>
      </c>
      <c r="M30" s="4">
        <f t="shared" si="12"/>
        <v>179.76973877235272</v>
      </c>
      <c r="N30" s="4">
        <f t="shared" si="12"/>
        <v>180.46319174517436</v>
      </c>
      <c r="O30" s="4">
        <f t="shared" si="12"/>
        <v>181.16273095682556</v>
      </c>
      <c r="P30" s="4">
        <f t="shared" si="12"/>
        <v>179.93651026793756</v>
      </c>
      <c r="Q30" s="4">
        <f t="shared" si="12"/>
        <v>179.434557377131</v>
      </c>
      <c r="R30" s="4">
        <f t="shared" si="12"/>
        <v>181.19763428693321</v>
      </c>
      <c r="S30" s="4">
        <f t="shared" si="12"/>
        <v>180.24126165542773</v>
      </c>
      <c r="T30" s="4">
        <f t="shared" si="12"/>
        <v>181.86479191525822</v>
      </c>
      <c r="U30" s="4">
        <f t="shared" si="12"/>
        <v>181.3879989804592</v>
      </c>
      <c r="V30" s="4">
        <f t="shared" si="12"/>
        <v>180.31387463678502</v>
      </c>
      <c r="W30" s="4">
        <f t="shared" si="12"/>
        <v>181.44856827312</v>
      </c>
      <c r="X30" s="4">
        <f t="shared" si="12"/>
        <v>179.64193146847353</v>
      </c>
      <c r="Y30" s="4">
        <f t="shared" si="12"/>
        <v>179.8310704893338</v>
      </c>
      <c r="Z30" s="4">
        <f t="shared" si="12"/>
        <v>179.93267019919261</v>
      </c>
      <c r="AA30" s="4">
        <f t="shared" si="12"/>
        <v>181.21751856364639</v>
      </c>
      <c r="AB30" s="4">
        <f t="shared" si="12"/>
        <v>181.16438878607312</v>
      </c>
      <c r="AC30" s="4">
        <f t="shared" si="12"/>
        <v>180.40385823704963</v>
      </c>
      <c r="AD30" s="4">
        <f t="shared" si="12"/>
        <v>179.37126845734764</v>
      </c>
      <c r="AE30" s="4">
        <f t="shared" si="12"/>
        <v>181.25924101993772</v>
      </c>
      <c r="AF30" s="4">
        <f t="shared" si="12"/>
        <v>180.03321775206354</v>
      </c>
      <c r="AG30" s="4">
        <f t="shared" si="12"/>
        <v>181.80952366188004</v>
      </c>
      <c r="AH30" s="4">
        <f t="shared" si="12"/>
        <v>181.12746448625143</v>
      </c>
      <c r="AI30" s="4">
        <f t="shared" si="12"/>
        <v>181.32985143767198</v>
      </c>
      <c r="AJ30" s="4">
        <f t="shared" si="12"/>
        <v>179.82685044229109</v>
      </c>
      <c r="AK30" s="4">
        <f t="shared" si="12"/>
        <v>181.8048152095898</v>
      </c>
      <c r="AL30" s="4">
        <f t="shared" si="12"/>
        <v>179.47529158235102</v>
      </c>
      <c r="AM30" s="4">
        <f t="shared" si="12"/>
        <v>181.18205488694994</v>
      </c>
      <c r="AN30" s="4">
        <f t="shared" si="12"/>
        <v>180.21012402792721</v>
      </c>
      <c r="AO30" s="4">
        <f t="shared" si="12"/>
        <v>180.50631515710342</v>
      </c>
      <c r="AP30" s="4">
        <f t="shared" si="12"/>
        <v>181.43406416246873</v>
      </c>
      <c r="AQ30" s="4">
        <f t="shared" si="12"/>
        <v>180.27584186577727</v>
      </c>
      <c r="AR30" s="4">
        <f t="shared" si="12"/>
        <v>180.26626912368224</v>
      </c>
      <c r="AS30" s="4">
        <f t="shared" si="12"/>
        <v>180.21163995406744</v>
      </c>
      <c r="AT30" s="4">
        <f t="shared" si="12"/>
        <v>179.12249123912335</v>
      </c>
      <c r="AU30" s="4">
        <f t="shared" si="12"/>
        <v>180.07249759158233</v>
      </c>
      <c r="AV30" s="4">
        <f t="shared" si="12"/>
        <v>179.68857835164468</v>
      </c>
      <c r="AW30" s="4">
        <f t="shared" si="12"/>
        <v>180.18481287648711</v>
      </c>
      <c r="AX30" s="4">
        <f t="shared" si="12"/>
        <v>179.75957958772887</v>
      </c>
      <c r="AY30" s="4">
        <f t="shared" si="12"/>
        <v>179.98614295859142</v>
      </c>
      <c r="AZ30" s="4">
        <f t="shared" si="12"/>
        <v>181.71847368675137</v>
      </c>
    </row>
    <row r="31" spans="1:52" ht="15.75" customHeight="1">
      <c r="A31" s="3">
        <v>91</v>
      </c>
      <c r="B31" s="3">
        <f t="shared" si="0"/>
        <v>194</v>
      </c>
      <c r="C31" s="4">
        <f t="shared" ref="C31:AZ31" si="13">$B31+C14</f>
        <v>194.9220821621517</v>
      </c>
      <c r="D31" s="4">
        <f t="shared" si="13"/>
        <v>193.22342240868943</v>
      </c>
      <c r="E31" s="4">
        <f t="shared" si="13"/>
        <v>193.05251650958203</v>
      </c>
      <c r="F31" s="4">
        <f t="shared" si="13"/>
        <v>193.11443732285426</v>
      </c>
      <c r="G31" s="4">
        <f t="shared" si="13"/>
        <v>195.77739483120982</v>
      </c>
      <c r="H31" s="4">
        <f t="shared" si="13"/>
        <v>194.94126945602849</v>
      </c>
      <c r="I31" s="4">
        <f t="shared" si="13"/>
        <v>194.86284818366858</v>
      </c>
      <c r="J31" s="4">
        <f t="shared" si="13"/>
        <v>193.31877491572436</v>
      </c>
      <c r="K31" s="4">
        <f t="shared" si="13"/>
        <v>195.45410186059371</v>
      </c>
      <c r="L31" s="4">
        <f t="shared" si="13"/>
        <v>194.69926185239592</v>
      </c>
      <c r="M31" s="4">
        <f t="shared" si="13"/>
        <v>194.79302298875896</v>
      </c>
      <c r="N31" s="4">
        <f t="shared" si="13"/>
        <v>194.69717612824138</v>
      </c>
      <c r="O31" s="4">
        <f t="shared" si="13"/>
        <v>194.67584604044805</v>
      </c>
      <c r="P31" s="4">
        <f t="shared" si="13"/>
        <v>194.10579298536885</v>
      </c>
      <c r="Q31" s="4">
        <f t="shared" si="13"/>
        <v>195.42314095228792</v>
      </c>
      <c r="R31" s="4">
        <f t="shared" si="13"/>
        <v>194.65776450387233</v>
      </c>
      <c r="S31" s="4">
        <f t="shared" si="13"/>
        <v>195.09209516002824</v>
      </c>
      <c r="T31" s="4">
        <f t="shared" si="13"/>
        <v>193.96125428919157</v>
      </c>
      <c r="U31" s="4">
        <f t="shared" si="13"/>
        <v>195.71294023798262</v>
      </c>
      <c r="V31" s="4">
        <f t="shared" si="13"/>
        <v>194.01702516987473</v>
      </c>
      <c r="W31" s="4">
        <f t="shared" si="13"/>
        <v>195.47686002549148</v>
      </c>
      <c r="X31" s="4">
        <f t="shared" si="13"/>
        <v>195.28922708889047</v>
      </c>
      <c r="Y31" s="4">
        <f t="shared" si="13"/>
        <v>195.04197624029541</v>
      </c>
      <c r="Z31" s="4">
        <f t="shared" si="13"/>
        <v>195.46376627286634</v>
      </c>
      <c r="AA31" s="4">
        <f t="shared" si="13"/>
        <v>195.45701455373194</v>
      </c>
      <c r="AB31" s="4">
        <f t="shared" si="13"/>
        <v>195.78301867881473</v>
      </c>
      <c r="AC31" s="4">
        <f t="shared" si="13"/>
        <v>193.62901231774612</v>
      </c>
      <c r="AD31" s="4">
        <f t="shared" si="13"/>
        <v>193.19428437233941</v>
      </c>
      <c r="AE31" s="4">
        <f t="shared" si="13"/>
        <v>195.78193678580035</v>
      </c>
      <c r="AF31" s="4">
        <f t="shared" si="13"/>
        <v>193.49176144282117</v>
      </c>
      <c r="AG31" s="4">
        <f t="shared" si="13"/>
        <v>195.96734066784961</v>
      </c>
      <c r="AH31" s="4">
        <f t="shared" si="13"/>
        <v>195.16795185614146</v>
      </c>
      <c r="AI31" s="4">
        <f t="shared" si="13"/>
        <v>193.39618929464314</v>
      </c>
      <c r="AJ31" s="4">
        <f t="shared" si="13"/>
        <v>194.82029345451758</v>
      </c>
      <c r="AK31" s="4">
        <f t="shared" si="13"/>
        <v>195.16275207354661</v>
      </c>
      <c r="AL31" s="4">
        <f t="shared" si="13"/>
        <v>193.68244575697372</v>
      </c>
      <c r="AM31" s="4">
        <f t="shared" si="13"/>
        <v>194.82695794246001</v>
      </c>
      <c r="AN31" s="4">
        <f t="shared" si="13"/>
        <v>193.16703998318076</v>
      </c>
      <c r="AO31" s="4">
        <f t="shared" si="13"/>
        <v>194.31087334418896</v>
      </c>
      <c r="AP31" s="4">
        <f t="shared" si="13"/>
        <v>194.21783622019356</v>
      </c>
      <c r="AQ31" s="4">
        <f t="shared" si="13"/>
        <v>193.64796776789012</v>
      </c>
      <c r="AR31" s="4">
        <f t="shared" si="13"/>
        <v>195.7741138594757</v>
      </c>
      <c r="AS31" s="4">
        <f t="shared" si="13"/>
        <v>193.30059124805231</v>
      </c>
      <c r="AT31" s="4">
        <f t="shared" si="13"/>
        <v>193.74875375610267</v>
      </c>
      <c r="AU31" s="4">
        <f t="shared" si="13"/>
        <v>194.03159453364111</v>
      </c>
      <c r="AV31" s="4">
        <f t="shared" si="13"/>
        <v>195.61385404463658</v>
      </c>
      <c r="AW31" s="4">
        <f t="shared" si="13"/>
        <v>195.68028157316277</v>
      </c>
      <c r="AX31" s="4">
        <f t="shared" si="13"/>
        <v>195.97385366856878</v>
      </c>
      <c r="AY31" s="4">
        <f t="shared" si="13"/>
        <v>195.65089102024561</v>
      </c>
      <c r="AZ31" s="4">
        <f t="shared" si="13"/>
        <v>194.38602085642415</v>
      </c>
    </row>
    <row r="32" spans="1:52" ht="15.75" customHeight="1">
      <c r="A32" s="3">
        <v>98</v>
      </c>
      <c r="B32" s="3">
        <f t="shared" si="0"/>
        <v>208</v>
      </c>
      <c r="C32" s="4">
        <f t="shared" ref="C32:AZ32" si="14">$B32+C15</f>
        <v>207.09985345707767</v>
      </c>
      <c r="D32" s="4">
        <f t="shared" si="14"/>
        <v>209.6015620593906</v>
      </c>
      <c r="E32" s="4">
        <f t="shared" si="14"/>
        <v>207.69029220158833</v>
      </c>
      <c r="F32" s="4">
        <f t="shared" si="14"/>
        <v>209.32470436629691</v>
      </c>
      <c r="G32" s="4">
        <f t="shared" si="14"/>
        <v>209.03159749202345</v>
      </c>
      <c r="H32" s="4">
        <f t="shared" si="14"/>
        <v>208.26970011830059</v>
      </c>
      <c r="I32" s="4">
        <f t="shared" si="14"/>
        <v>209.35225497205235</v>
      </c>
      <c r="J32" s="4">
        <f t="shared" si="14"/>
        <v>209.15002541121217</v>
      </c>
      <c r="K32" s="4">
        <f t="shared" si="14"/>
        <v>209.68150369428599</v>
      </c>
      <c r="L32" s="4">
        <f t="shared" si="14"/>
        <v>207.81729840504352</v>
      </c>
      <c r="M32" s="4">
        <f t="shared" si="14"/>
        <v>209.81080430742901</v>
      </c>
      <c r="N32" s="4">
        <f t="shared" si="14"/>
        <v>208.01907188712249</v>
      </c>
      <c r="O32" s="4">
        <f t="shared" si="14"/>
        <v>207.71992710643104</v>
      </c>
      <c r="P32" s="4">
        <f t="shared" si="14"/>
        <v>208.25935268972921</v>
      </c>
      <c r="Q32" s="4">
        <f t="shared" si="14"/>
        <v>207.19431366452548</v>
      </c>
      <c r="R32" s="4">
        <f t="shared" si="14"/>
        <v>208.61984994933604</v>
      </c>
      <c r="S32" s="4">
        <f t="shared" si="14"/>
        <v>208.39649894270434</v>
      </c>
      <c r="T32" s="4">
        <f t="shared" si="14"/>
        <v>207.60796129435326</v>
      </c>
      <c r="U32" s="4">
        <f t="shared" si="14"/>
        <v>208.7842637956378</v>
      </c>
      <c r="V32" s="4">
        <f t="shared" si="14"/>
        <v>209.39926476068686</v>
      </c>
      <c r="W32" s="4">
        <f t="shared" si="14"/>
        <v>207.99182005235591</v>
      </c>
      <c r="X32" s="4">
        <f t="shared" si="14"/>
        <v>208.23779122154602</v>
      </c>
      <c r="Y32" s="4">
        <f t="shared" si="14"/>
        <v>209.10771376741747</v>
      </c>
      <c r="Z32" s="4">
        <f t="shared" si="14"/>
        <v>208.2466103749245</v>
      </c>
      <c r="AA32" s="4">
        <f t="shared" si="14"/>
        <v>208.19426441471433</v>
      </c>
      <c r="AB32" s="4">
        <f t="shared" si="14"/>
        <v>209.48427132420855</v>
      </c>
      <c r="AC32" s="4">
        <f t="shared" si="14"/>
        <v>208.89824141369979</v>
      </c>
      <c r="AD32" s="4">
        <f t="shared" si="14"/>
        <v>207.75939588858</v>
      </c>
      <c r="AE32" s="4">
        <f t="shared" si="14"/>
        <v>208.60111112863916</v>
      </c>
      <c r="AF32" s="4">
        <f t="shared" si="14"/>
        <v>207.48623134467391</v>
      </c>
      <c r="AG32" s="4">
        <f t="shared" si="14"/>
        <v>209.74957159737852</v>
      </c>
      <c r="AH32" s="4">
        <f t="shared" si="14"/>
        <v>207.7282268557214</v>
      </c>
      <c r="AI32" s="4">
        <f t="shared" si="14"/>
        <v>207.79322372033405</v>
      </c>
      <c r="AJ32" s="4">
        <f t="shared" si="14"/>
        <v>207.53470529812986</v>
      </c>
      <c r="AK32" s="4">
        <f t="shared" si="14"/>
        <v>207.5361113902932</v>
      </c>
      <c r="AL32" s="4">
        <f t="shared" si="14"/>
        <v>207.72746068061667</v>
      </c>
      <c r="AM32" s="4">
        <f t="shared" si="14"/>
        <v>207.68249570153523</v>
      </c>
      <c r="AN32" s="4">
        <f t="shared" si="14"/>
        <v>209.43961843872339</v>
      </c>
      <c r="AO32" s="4">
        <f t="shared" si="14"/>
        <v>207.92461059836802</v>
      </c>
      <c r="AP32" s="4">
        <f t="shared" si="14"/>
        <v>209.948354513331</v>
      </c>
      <c r="AQ32" s="4">
        <f t="shared" si="14"/>
        <v>207.08128095618892</v>
      </c>
      <c r="AR32" s="4">
        <f t="shared" si="14"/>
        <v>209.67607600741161</v>
      </c>
      <c r="AS32" s="4">
        <f t="shared" si="14"/>
        <v>209.55116651000074</v>
      </c>
      <c r="AT32" s="4">
        <f t="shared" si="14"/>
        <v>208.66142478795888</v>
      </c>
      <c r="AU32" s="4">
        <f t="shared" si="14"/>
        <v>209.69302756725747</v>
      </c>
      <c r="AV32" s="4">
        <f t="shared" si="14"/>
        <v>208.32197299252903</v>
      </c>
      <c r="AW32" s="4">
        <f t="shared" si="14"/>
        <v>207.68779185373353</v>
      </c>
      <c r="AX32" s="4">
        <f t="shared" si="14"/>
        <v>209.94473675715511</v>
      </c>
      <c r="AY32" s="4">
        <f t="shared" si="14"/>
        <v>207.97333428016537</v>
      </c>
      <c r="AZ32" s="4">
        <f t="shared" si="14"/>
        <v>209.04864330330091</v>
      </c>
    </row>
    <row r="33" spans="1:52" ht="15.75" customHeight="1">
      <c r="A33" s="3">
        <v>105</v>
      </c>
      <c r="B33" s="3">
        <f t="shared" si="0"/>
        <v>222</v>
      </c>
      <c r="C33" s="4">
        <f t="shared" ref="C33:AZ33" si="15">$B33+C16</f>
        <v>222.88431363079664</v>
      </c>
      <c r="D33" s="4">
        <f t="shared" si="15"/>
        <v>223.3024387031474</v>
      </c>
      <c r="E33" s="4">
        <f t="shared" si="15"/>
        <v>222.69024336670992</v>
      </c>
      <c r="F33" s="4">
        <f t="shared" si="15"/>
        <v>222.04765981968916</v>
      </c>
      <c r="G33" s="4">
        <f t="shared" si="15"/>
        <v>222.48814155029871</v>
      </c>
      <c r="H33" s="4">
        <f t="shared" si="15"/>
        <v>222.04450407875765</v>
      </c>
      <c r="I33" s="4">
        <f t="shared" si="15"/>
        <v>223.53831706062792</v>
      </c>
      <c r="J33" s="4">
        <f t="shared" si="15"/>
        <v>222.85799232613721</v>
      </c>
      <c r="K33" s="4">
        <f t="shared" si="15"/>
        <v>221.90839619813102</v>
      </c>
      <c r="L33" s="4">
        <f t="shared" si="15"/>
        <v>223.73640917084751</v>
      </c>
      <c r="M33" s="4">
        <f t="shared" si="15"/>
        <v>222.86037514209366</v>
      </c>
      <c r="N33" s="4">
        <f t="shared" si="15"/>
        <v>221.01670288718697</v>
      </c>
      <c r="O33" s="4">
        <f t="shared" si="15"/>
        <v>223.43576710601019</v>
      </c>
      <c r="P33" s="4">
        <f t="shared" si="15"/>
        <v>223.34533503610433</v>
      </c>
      <c r="Q33" s="4">
        <f t="shared" si="15"/>
        <v>222.81852497375542</v>
      </c>
      <c r="R33" s="4">
        <f t="shared" si="15"/>
        <v>223.90217132641763</v>
      </c>
      <c r="S33" s="4">
        <f t="shared" si="15"/>
        <v>223.41967907303805</v>
      </c>
      <c r="T33" s="4">
        <f t="shared" si="15"/>
        <v>221.10113810386292</v>
      </c>
      <c r="U33" s="4">
        <f t="shared" si="15"/>
        <v>223.08563689085045</v>
      </c>
      <c r="V33" s="4">
        <f t="shared" si="15"/>
        <v>222.12125173412807</v>
      </c>
      <c r="W33" s="4">
        <f t="shared" si="15"/>
        <v>223.38384967061515</v>
      </c>
      <c r="X33" s="4">
        <f t="shared" si="15"/>
        <v>221.09526058787401</v>
      </c>
      <c r="Y33" s="4">
        <f t="shared" si="15"/>
        <v>222.56505841762902</v>
      </c>
      <c r="Z33" s="4">
        <f t="shared" si="15"/>
        <v>223.85052283138725</v>
      </c>
      <c r="AA33" s="4">
        <f t="shared" si="15"/>
        <v>223.54058980209774</v>
      </c>
      <c r="AB33" s="4">
        <f t="shared" si="15"/>
        <v>221.75787545135552</v>
      </c>
      <c r="AC33" s="4">
        <f t="shared" si="15"/>
        <v>221.04618042990313</v>
      </c>
      <c r="AD33" s="4">
        <f t="shared" si="15"/>
        <v>223.49913263975648</v>
      </c>
      <c r="AE33" s="4">
        <f t="shared" si="15"/>
        <v>223.09056526480498</v>
      </c>
      <c r="AF33" s="4">
        <f t="shared" si="15"/>
        <v>223.41248544593776</v>
      </c>
      <c r="AG33" s="4">
        <f t="shared" si="15"/>
        <v>223.80757427117257</v>
      </c>
      <c r="AH33" s="4">
        <f t="shared" si="15"/>
        <v>222.51745607018708</v>
      </c>
      <c r="AI33" s="4">
        <f t="shared" si="15"/>
        <v>223.94473890483721</v>
      </c>
      <c r="AJ33" s="4">
        <f t="shared" si="15"/>
        <v>223.35719416931593</v>
      </c>
      <c r="AK33" s="4">
        <f t="shared" si="15"/>
        <v>222.42941817785493</v>
      </c>
      <c r="AL33" s="4">
        <f t="shared" si="15"/>
        <v>223.42578442085019</v>
      </c>
      <c r="AM33" s="4">
        <f t="shared" si="15"/>
        <v>221.75521128996095</v>
      </c>
      <c r="AN33" s="4">
        <f t="shared" si="15"/>
        <v>222.17186834184628</v>
      </c>
      <c r="AO33" s="4">
        <f t="shared" si="15"/>
        <v>221.32693225204</v>
      </c>
      <c r="AP33" s="4">
        <f t="shared" si="15"/>
        <v>223.38726512173085</v>
      </c>
      <c r="AQ33" s="4">
        <f t="shared" si="15"/>
        <v>222.39167939416313</v>
      </c>
      <c r="AR33" s="4">
        <f t="shared" si="15"/>
        <v>223.20041001430906</v>
      </c>
      <c r="AS33" s="4">
        <f t="shared" si="15"/>
        <v>221.76654038944937</v>
      </c>
      <c r="AT33" s="4">
        <f t="shared" si="15"/>
        <v>222.89931094671138</v>
      </c>
      <c r="AU33" s="4">
        <f t="shared" si="15"/>
        <v>223.25023156930791</v>
      </c>
      <c r="AV33" s="4">
        <f t="shared" si="15"/>
        <v>221.40735730357761</v>
      </c>
      <c r="AW33" s="4">
        <f t="shared" si="15"/>
        <v>223.37647788693158</v>
      </c>
      <c r="AX33" s="4">
        <f t="shared" si="15"/>
        <v>222.42769709803082</v>
      </c>
      <c r="AY33" s="4">
        <f t="shared" si="15"/>
        <v>221.03119760459461</v>
      </c>
      <c r="AZ33" s="4">
        <f t="shared" si="15"/>
        <v>223.05803246527432</v>
      </c>
    </row>
    <row r="34" spans="1:52" ht="15.75" customHeight="1">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row>
    <row r="35" spans="1:52" ht="15.75" customHeight="1">
      <c r="C35" s="4"/>
    </row>
    <row r="36" spans="1:52" ht="15.75" customHeight="1">
      <c r="C36" s="4"/>
    </row>
    <row r="37" spans="1:52" ht="15.75" customHeight="1">
      <c r="C37" s="4"/>
    </row>
    <row r="38" spans="1:52" ht="15.75" customHeight="1">
      <c r="C38" s="4"/>
    </row>
    <row r="39" spans="1:52" ht="15.75" customHeight="1">
      <c r="C39" s="4"/>
    </row>
    <row r="40" spans="1:52" ht="15.75" customHeight="1">
      <c r="C40" s="4"/>
    </row>
    <row r="41" spans="1:52" ht="15.75" customHeight="1">
      <c r="C41" s="4"/>
    </row>
    <row r="42" spans="1:52" ht="15.75" customHeight="1">
      <c r="C42" s="4"/>
    </row>
    <row r="43" spans="1:52" ht="15.75" customHeight="1">
      <c r="C43" s="4"/>
    </row>
    <row r="44" spans="1:52" ht="15.75" customHeight="1">
      <c r="C44" s="4"/>
    </row>
    <row r="45" spans="1:52" ht="15.75" customHeight="1">
      <c r="C45" s="4"/>
    </row>
    <row r="46" spans="1:52" ht="15.75" customHeight="1">
      <c r="C46" s="4"/>
    </row>
    <row r="47" spans="1:52" ht="15.75" customHeight="1">
      <c r="C47" s="4"/>
    </row>
    <row r="48" spans="1:52" ht="15.75" customHeight="1">
      <c r="C48" s="4"/>
    </row>
    <row r="49" spans="3:3" ht="15.75" customHeight="1">
      <c r="C49" s="4"/>
    </row>
    <row r="50" spans="3:3" ht="15.75" customHeight="1">
      <c r="C50" s="4"/>
    </row>
    <row r="51" spans="3:3" ht="15.75" customHeight="1">
      <c r="C51" s="4"/>
    </row>
    <row r="52" spans="3:3" ht="15.75" customHeight="1">
      <c r="C52" s="4"/>
    </row>
    <row r="53" spans="3:3" ht="15.75" customHeight="1">
      <c r="C53" s="4"/>
    </row>
    <row r="54" spans="3:3" ht="15.75" customHeight="1">
      <c r="C54" s="4"/>
    </row>
    <row r="55" spans="3:3" ht="15.75" customHeight="1">
      <c r="C55" s="4"/>
    </row>
    <row r="56" spans="3:3" ht="15.75" customHeight="1">
      <c r="C56" s="4"/>
    </row>
    <row r="57" spans="3:3" ht="15.75" customHeight="1">
      <c r="C57" s="4"/>
    </row>
    <row r="58" spans="3:3" ht="15.75" customHeight="1">
      <c r="C58" s="4"/>
    </row>
    <row r="59" spans="3:3" ht="15.75" customHeight="1">
      <c r="C59" s="4"/>
    </row>
    <row r="60" spans="3:3" ht="15.75" customHeight="1">
      <c r="C60" s="4"/>
    </row>
    <row r="61" spans="3:3" ht="15.75" customHeight="1">
      <c r="C61" s="4"/>
    </row>
    <row r="62" spans="3:3" ht="15.75" customHeight="1">
      <c r="C62" s="4"/>
    </row>
    <row r="63" spans="3:3" ht="15.75" customHeight="1">
      <c r="C63" s="4"/>
    </row>
    <row r="64" spans="3:3" ht="15.75" customHeight="1">
      <c r="C64" s="4"/>
    </row>
    <row r="65" spans="3:3" ht="15.75" customHeight="1">
      <c r="C65" s="4"/>
    </row>
    <row r="66" spans="3:3" ht="15.75" customHeight="1">
      <c r="C66" s="4"/>
    </row>
    <row r="67" spans="3:3" ht="15.75" customHeight="1">
      <c r="C67" s="4"/>
    </row>
    <row r="68" spans="3:3" ht="15.75" customHeight="1">
      <c r="C68" s="4"/>
    </row>
    <row r="69" spans="3:3" ht="15.75" customHeight="1">
      <c r="C69" s="4"/>
    </row>
    <row r="70" spans="3:3" ht="15.75" customHeight="1">
      <c r="C70" s="4"/>
    </row>
    <row r="71" spans="3:3" ht="15.75" customHeight="1">
      <c r="C71" s="4"/>
    </row>
    <row r="72" spans="3:3" ht="15.75" customHeight="1">
      <c r="C72" s="4"/>
    </row>
    <row r="73" spans="3:3" ht="15.75" customHeight="1">
      <c r="C73" s="4"/>
    </row>
    <row r="74" spans="3:3" ht="15.75" customHeight="1">
      <c r="C74" s="4"/>
    </row>
    <row r="75" spans="3:3" ht="15.75" customHeight="1">
      <c r="C75" s="4"/>
    </row>
    <row r="76" spans="3:3" ht="15.75" customHeight="1">
      <c r="C76" s="4"/>
    </row>
    <row r="77" spans="3:3" ht="15.75" customHeight="1">
      <c r="C77" s="4"/>
    </row>
    <row r="78" spans="3:3" ht="15.75" customHeight="1">
      <c r="C78" s="4"/>
    </row>
    <row r="79" spans="3:3" ht="15.75" customHeight="1">
      <c r="C79" s="4"/>
    </row>
    <row r="80" spans="3:3" ht="15.75" customHeight="1">
      <c r="C80" s="4"/>
    </row>
    <row r="81" spans="3:3" ht="15.75" customHeight="1">
      <c r="C81" s="4"/>
    </row>
    <row r="82" spans="3:3" ht="15.75" customHeight="1">
      <c r="C82" s="4"/>
    </row>
    <row r="83" spans="3:3" ht="15.75" customHeight="1">
      <c r="C83" s="4"/>
    </row>
    <row r="84" spans="3:3" ht="15.75" customHeight="1">
      <c r="C84" s="4"/>
    </row>
    <row r="85" spans="3:3" ht="15.75" customHeight="1">
      <c r="C85" s="4"/>
    </row>
    <row r="86" spans="3:3" ht="15.75" customHeight="1">
      <c r="C86" s="4"/>
    </row>
    <row r="87" spans="3:3" ht="15.75" customHeight="1">
      <c r="C87" s="4"/>
    </row>
    <row r="88" spans="3:3" ht="15.75" customHeight="1">
      <c r="C88" s="4"/>
    </row>
    <row r="89" spans="3:3" ht="15.75" customHeight="1">
      <c r="C89" s="4"/>
    </row>
    <row r="90" spans="3:3" ht="15.75" customHeight="1">
      <c r="C90" s="4"/>
    </row>
    <row r="91" spans="3:3" ht="15.75" customHeight="1">
      <c r="C91" s="4"/>
    </row>
    <row r="92" spans="3:3" ht="15.75" customHeight="1">
      <c r="C92" s="4"/>
    </row>
    <row r="93" spans="3:3" ht="15.75" customHeight="1">
      <c r="C93" s="4"/>
    </row>
    <row r="94" spans="3:3" ht="15.75" customHeight="1">
      <c r="C94" s="4"/>
    </row>
    <row r="95" spans="3:3" ht="15.75" customHeight="1">
      <c r="C95" s="4"/>
    </row>
    <row r="96" spans="3:3" ht="15.75" customHeight="1">
      <c r="C96" s="4"/>
    </row>
    <row r="97" spans="3:3" ht="15.75" customHeight="1">
      <c r="C97" s="4"/>
    </row>
    <row r="98" spans="3:3" ht="15.75" customHeight="1">
      <c r="C98" s="4"/>
    </row>
    <row r="99" spans="3:3" ht="15.75" customHeight="1">
      <c r="C99" s="4"/>
    </row>
    <row r="100" spans="3:3" ht="15.75" customHeight="1">
      <c r="C100" s="4"/>
    </row>
    <row r="101" spans="3:3" ht="15.75" customHeight="1">
      <c r="C101" s="4"/>
    </row>
    <row r="102" spans="3:3" ht="15.75" customHeight="1">
      <c r="C102" s="4"/>
    </row>
    <row r="103" spans="3:3" ht="15.75" customHeight="1">
      <c r="C103" s="4"/>
    </row>
    <row r="104" spans="3:3" ht="15.75" customHeight="1">
      <c r="C104" s="4"/>
    </row>
    <row r="105" spans="3:3" ht="15.75" customHeight="1">
      <c r="C105" s="4"/>
    </row>
    <row r="106" spans="3:3" ht="15.75" customHeight="1">
      <c r="C106" s="4"/>
    </row>
    <row r="107" spans="3:3" ht="15.75" customHeight="1">
      <c r="C107" s="4"/>
    </row>
    <row r="108" spans="3:3" ht="15.75" customHeight="1">
      <c r="C108" s="4"/>
    </row>
    <row r="109" spans="3:3" ht="15.75" customHeight="1">
      <c r="C109" s="4"/>
    </row>
    <row r="110" spans="3:3" ht="15.75" customHeight="1">
      <c r="C110" s="4"/>
    </row>
    <row r="111" spans="3:3" ht="15.75" customHeight="1">
      <c r="C111" s="4"/>
    </row>
    <row r="112" spans="3:3" ht="15.75" customHeight="1">
      <c r="C112" s="4"/>
    </row>
    <row r="113" spans="3:3" ht="15.75" customHeight="1">
      <c r="C113" s="4"/>
    </row>
    <row r="114" spans="3:3" ht="15.75" customHeight="1">
      <c r="C114" s="4"/>
    </row>
    <row r="115" spans="3:3" ht="15.75" customHeight="1">
      <c r="C115" s="4"/>
    </row>
    <row r="116" spans="3:3" ht="15.75" customHeight="1">
      <c r="C116" s="4"/>
    </row>
    <row r="117" spans="3:3" ht="15.75" customHeight="1">
      <c r="C117" s="4"/>
    </row>
    <row r="118" spans="3:3" ht="15.75" customHeight="1">
      <c r="C118" s="4"/>
    </row>
    <row r="119" spans="3:3" ht="15.75" customHeight="1">
      <c r="C119" s="4"/>
    </row>
    <row r="120" spans="3:3" ht="15.75" customHeight="1">
      <c r="C120" s="4"/>
    </row>
    <row r="121" spans="3:3" ht="15.75" customHeight="1">
      <c r="C121" s="4"/>
    </row>
    <row r="122" spans="3:3" ht="15.75" customHeight="1">
      <c r="C122" s="4"/>
    </row>
    <row r="123" spans="3:3" ht="15.75" customHeight="1">
      <c r="C123" s="4"/>
    </row>
    <row r="124" spans="3:3" ht="15.75" customHeight="1">
      <c r="C124" s="4"/>
    </row>
    <row r="125" spans="3:3" ht="15.75" customHeight="1">
      <c r="C125" s="4"/>
    </row>
    <row r="126" spans="3:3" ht="15.75" customHeight="1">
      <c r="C126" s="4"/>
    </row>
    <row r="127" spans="3:3" ht="15.75" customHeight="1">
      <c r="C127" s="4"/>
    </row>
    <row r="128" spans="3:3" ht="15.75" customHeight="1">
      <c r="C128" s="4"/>
    </row>
    <row r="129" spans="3:3" ht="15.75" customHeight="1">
      <c r="C129" s="4"/>
    </row>
    <row r="130" spans="3:3" ht="15.75" customHeight="1">
      <c r="C130" s="4"/>
    </row>
    <row r="131" spans="3:3" ht="15.75" customHeight="1">
      <c r="C131" s="4"/>
    </row>
    <row r="132" spans="3:3" ht="15.75" customHeight="1">
      <c r="C132" s="4"/>
    </row>
    <row r="133" spans="3:3" ht="15.75" customHeight="1">
      <c r="C133" s="4"/>
    </row>
    <row r="134" spans="3:3" ht="15.75" customHeight="1">
      <c r="C134" s="4"/>
    </row>
    <row r="135" spans="3:3" ht="15.75" customHeight="1">
      <c r="C135" s="4"/>
    </row>
    <row r="136" spans="3:3" ht="15.75" customHeight="1">
      <c r="C136" s="4"/>
    </row>
    <row r="137" spans="3:3" ht="15.75" customHeight="1">
      <c r="C137" s="4"/>
    </row>
    <row r="138" spans="3:3" ht="15.75" customHeight="1">
      <c r="C138" s="4"/>
    </row>
    <row r="139" spans="3:3" ht="15.75" customHeight="1">
      <c r="C139" s="4"/>
    </row>
    <row r="140" spans="3:3" ht="15.75" customHeight="1">
      <c r="C140" s="4"/>
    </row>
    <row r="141" spans="3:3" ht="15.75" customHeight="1">
      <c r="C141" s="4"/>
    </row>
    <row r="142" spans="3:3" ht="15.75" customHeight="1">
      <c r="C142" s="4"/>
    </row>
    <row r="143" spans="3:3" ht="15.75" customHeight="1">
      <c r="C143" s="4"/>
    </row>
    <row r="144" spans="3:3" ht="15.75" customHeight="1">
      <c r="C144" s="4"/>
    </row>
    <row r="145" spans="3:3" ht="15.75" customHeight="1">
      <c r="C145" s="4"/>
    </row>
    <row r="146" spans="3:3" ht="15.75" customHeight="1">
      <c r="C146" s="4"/>
    </row>
    <row r="147" spans="3:3" ht="15.75" customHeight="1">
      <c r="C147" s="4"/>
    </row>
    <row r="148" spans="3:3" ht="15.75" customHeight="1">
      <c r="C148" s="4"/>
    </row>
    <row r="149" spans="3:3" ht="15.75" customHeight="1">
      <c r="C149" s="4"/>
    </row>
    <row r="150" spans="3:3" ht="15.75" customHeight="1">
      <c r="C150" s="4"/>
    </row>
    <row r="151" spans="3:3" ht="15.75" customHeight="1">
      <c r="C151" s="4"/>
    </row>
    <row r="152" spans="3:3" ht="15.75" customHeight="1">
      <c r="C152" s="4"/>
    </row>
    <row r="153" spans="3:3" ht="15.75" customHeight="1">
      <c r="C153" s="4"/>
    </row>
    <row r="154" spans="3:3" ht="15.75" customHeight="1">
      <c r="C154" s="4"/>
    </row>
    <row r="155" spans="3:3" ht="15.75" customHeight="1">
      <c r="C155" s="4"/>
    </row>
    <row r="156" spans="3:3" ht="15.75" customHeight="1">
      <c r="C156" s="4"/>
    </row>
    <row r="157" spans="3:3" ht="15.75" customHeight="1">
      <c r="C157" s="4"/>
    </row>
    <row r="158" spans="3:3" ht="15.75" customHeight="1">
      <c r="C158" s="4"/>
    </row>
    <row r="159" spans="3:3" ht="15.75" customHeight="1">
      <c r="C159" s="4"/>
    </row>
    <row r="160" spans="3:3" ht="15.75" customHeight="1">
      <c r="C160" s="4"/>
    </row>
    <row r="161" spans="3:3" ht="15.75" customHeight="1">
      <c r="C161" s="4"/>
    </row>
    <row r="162" spans="3:3" ht="15.75" customHeight="1">
      <c r="C162" s="4"/>
    </row>
    <row r="163" spans="3:3" ht="15.75" customHeight="1">
      <c r="C163" s="4"/>
    </row>
    <row r="164" spans="3:3" ht="15.75" customHeight="1">
      <c r="C164" s="4"/>
    </row>
    <row r="165" spans="3:3" ht="15.75" customHeight="1">
      <c r="C165" s="4"/>
    </row>
    <row r="166" spans="3:3" ht="15.75" customHeight="1">
      <c r="C166" s="4"/>
    </row>
    <row r="167" spans="3:3" ht="15.75" customHeight="1">
      <c r="C167" s="4"/>
    </row>
    <row r="168" spans="3:3" ht="15.75" customHeight="1">
      <c r="C168" s="4"/>
    </row>
    <row r="169" spans="3:3" ht="15.75" customHeight="1">
      <c r="C169" s="4"/>
    </row>
    <row r="170" spans="3:3" ht="15.75" customHeight="1">
      <c r="C170" s="4"/>
    </row>
    <row r="171" spans="3:3" ht="15.75" customHeight="1">
      <c r="C171" s="4"/>
    </row>
    <row r="172" spans="3:3" ht="15.75" customHeight="1">
      <c r="C172" s="4"/>
    </row>
    <row r="173" spans="3:3" ht="15.75" customHeight="1">
      <c r="C173" s="4"/>
    </row>
    <row r="174" spans="3:3" ht="15.75" customHeight="1">
      <c r="C174" s="4"/>
    </row>
    <row r="175" spans="3:3" ht="15.75" customHeight="1">
      <c r="C175" s="4"/>
    </row>
    <row r="176" spans="3:3" ht="15.75" customHeight="1">
      <c r="C176" s="4"/>
    </row>
    <row r="177" spans="3:3" ht="15.75" customHeight="1">
      <c r="C177" s="4"/>
    </row>
    <row r="178" spans="3:3" ht="15.75" customHeight="1">
      <c r="C178" s="4"/>
    </row>
    <row r="179" spans="3:3" ht="15.75" customHeight="1">
      <c r="C179" s="4"/>
    </row>
    <row r="180" spans="3:3" ht="15.75" customHeight="1">
      <c r="C180" s="4"/>
    </row>
    <row r="181" spans="3:3" ht="15.75" customHeight="1">
      <c r="C181" s="4"/>
    </row>
    <row r="182" spans="3:3" ht="15.75" customHeight="1">
      <c r="C182" s="4"/>
    </row>
    <row r="183" spans="3:3" ht="15.75" customHeight="1">
      <c r="C183" s="4"/>
    </row>
    <row r="184" spans="3:3" ht="15.75" customHeight="1">
      <c r="C184" s="4"/>
    </row>
    <row r="185" spans="3:3" ht="15.75" customHeight="1">
      <c r="C185" s="4"/>
    </row>
    <row r="186" spans="3:3" ht="15.75" customHeight="1">
      <c r="C186" s="4"/>
    </row>
    <row r="187" spans="3:3" ht="15.75" customHeight="1">
      <c r="C187" s="4"/>
    </row>
    <row r="188" spans="3:3" ht="15.75" customHeight="1">
      <c r="C188" s="4"/>
    </row>
    <row r="189" spans="3:3" ht="15.75" customHeight="1">
      <c r="C189" s="4"/>
    </row>
    <row r="190" spans="3:3" ht="15.75" customHeight="1">
      <c r="C190" s="4"/>
    </row>
    <row r="191" spans="3:3" ht="15.75" customHeight="1">
      <c r="C191" s="4"/>
    </row>
    <row r="192" spans="3:3" ht="15.75" customHeight="1">
      <c r="C192" s="4"/>
    </row>
    <row r="193" spans="3:3" ht="15.75" customHeight="1">
      <c r="C193" s="4"/>
    </row>
    <row r="194" spans="3:3" ht="15.75" customHeight="1">
      <c r="C194" s="4"/>
    </row>
    <row r="195" spans="3:3" ht="15.75" customHeight="1">
      <c r="C195" s="4"/>
    </row>
    <row r="196" spans="3:3" ht="15.75" customHeight="1">
      <c r="C196" s="4"/>
    </row>
    <row r="197" spans="3:3" ht="15.75" customHeight="1">
      <c r="C197" s="4"/>
    </row>
    <row r="198" spans="3:3" ht="15.75" customHeight="1">
      <c r="C198" s="4"/>
    </row>
    <row r="199" spans="3:3" ht="15.75" customHeight="1">
      <c r="C199" s="4"/>
    </row>
    <row r="200" spans="3:3" ht="15.75" customHeight="1">
      <c r="C200" s="4"/>
    </row>
    <row r="201" spans="3:3" ht="15.75" customHeight="1">
      <c r="C201" s="4"/>
    </row>
    <row r="202" spans="3:3" ht="15.75" customHeight="1">
      <c r="C202" s="4"/>
    </row>
    <row r="203" spans="3:3" ht="15.75" customHeight="1">
      <c r="C203" s="4"/>
    </row>
    <row r="204" spans="3:3" ht="15.75" customHeight="1">
      <c r="C204" s="4"/>
    </row>
    <row r="205" spans="3:3" ht="15.75" customHeight="1">
      <c r="C205" s="4"/>
    </row>
    <row r="206" spans="3:3" ht="15.75" customHeight="1">
      <c r="C206" s="4"/>
    </row>
    <row r="207" spans="3:3" ht="15.75" customHeight="1">
      <c r="C207" s="4"/>
    </row>
    <row r="208" spans="3:3" ht="15.75" customHeight="1">
      <c r="C208" s="4"/>
    </row>
    <row r="209" spans="3:3" ht="15.75" customHeight="1">
      <c r="C209" s="4"/>
    </row>
    <row r="210" spans="3:3" ht="15.75" customHeight="1">
      <c r="C210" s="4"/>
    </row>
    <row r="211" spans="3:3" ht="15.75" customHeight="1">
      <c r="C211" s="4"/>
    </row>
    <row r="212" spans="3:3" ht="15.75" customHeight="1">
      <c r="C212" s="4"/>
    </row>
    <row r="213" spans="3:3" ht="15.75" customHeight="1">
      <c r="C213" s="4"/>
    </row>
    <row r="214" spans="3:3" ht="15.75" customHeight="1">
      <c r="C214" s="4"/>
    </row>
    <row r="215" spans="3:3" ht="15.75" customHeight="1">
      <c r="C215" s="4"/>
    </row>
    <row r="216" spans="3:3" ht="15.75" customHeight="1">
      <c r="C216" s="4"/>
    </row>
    <row r="217" spans="3:3" ht="15.75" customHeight="1">
      <c r="C217" s="4"/>
    </row>
    <row r="218" spans="3:3" ht="15.75" customHeight="1">
      <c r="C218" s="4"/>
    </row>
    <row r="219" spans="3:3" ht="15.75" customHeight="1">
      <c r="C219" s="4"/>
    </row>
    <row r="220" spans="3:3" ht="15.75" customHeight="1">
      <c r="C220" s="4"/>
    </row>
    <row r="221" spans="3:3" ht="15.75" customHeight="1">
      <c r="C221" s="4"/>
    </row>
    <row r="222" spans="3:3" ht="15.75" customHeight="1">
      <c r="C222" s="4"/>
    </row>
    <row r="223" spans="3:3" ht="15.75" customHeight="1">
      <c r="C223" s="4"/>
    </row>
    <row r="224" spans="3:3" ht="15.75" customHeight="1">
      <c r="C224" s="4"/>
    </row>
    <row r="225" spans="3:3" ht="15.75" customHeight="1">
      <c r="C225" s="4"/>
    </row>
    <row r="226" spans="3:3" ht="15.75" customHeight="1">
      <c r="C226" s="4"/>
    </row>
    <row r="227" spans="3:3" ht="15.75" customHeight="1">
      <c r="C227" s="4"/>
    </row>
    <row r="228" spans="3:3" ht="15.75" customHeight="1">
      <c r="C228" s="4"/>
    </row>
    <row r="229" spans="3:3" ht="15.75" customHeight="1">
      <c r="C229" s="4"/>
    </row>
    <row r="230" spans="3:3" ht="15.75" customHeight="1">
      <c r="C230" s="4"/>
    </row>
    <row r="231" spans="3:3" ht="15.75" customHeight="1">
      <c r="C231" s="4"/>
    </row>
    <row r="232" spans="3:3" ht="15.75" customHeight="1">
      <c r="C232" s="4"/>
    </row>
    <row r="233" spans="3:3" ht="15.75" customHeight="1">
      <c r="C233" s="4"/>
    </row>
    <row r="234" spans="3:3" ht="15.75" customHeight="1">
      <c r="C234" s="4"/>
    </row>
    <row r="235" spans="3:3" ht="15.75" customHeight="1">
      <c r="C235" s="4"/>
    </row>
    <row r="236" spans="3:3" ht="15.75" customHeight="1">
      <c r="C236" s="4"/>
    </row>
    <row r="237" spans="3:3" ht="15.75" customHeight="1">
      <c r="C237" s="4"/>
    </row>
    <row r="238" spans="3:3" ht="15.75" customHeight="1">
      <c r="C238" s="4"/>
    </row>
    <row r="239" spans="3:3" ht="15.75" customHeight="1">
      <c r="C239" s="4"/>
    </row>
    <row r="240" spans="3:3" ht="15.75" customHeight="1">
      <c r="C240" s="4"/>
    </row>
    <row r="241" spans="3:3" ht="15.75" customHeight="1">
      <c r="C241" s="4"/>
    </row>
    <row r="242" spans="3:3" ht="15.75" customHeight="1">
      <c r="C242" s="4"/>
    </row>
    <row r="243" spans="3:3" ht="15.75" customHeight="1">
      <c r="C243" s="4"/>
    </row>
    <row r="244" spans="3:3" ht="15.75" customHeight="1">
      <c r="C244" s="4"/>
    </row>
    <row r="245" spans="3:3" ht="15.75" customHeight="1">
      <c r="C245" s="4"/>
    </row>
    <row r="246" spans="3:3" ht="15.75" customHeight="1">
      <c r="C246" s="4"/>
    </row>
    <row r="247" spans="3:3" ht="15.75" customHeight="1">
      <c r="C247" s="4"/>
    </row>
    <row r="248" spans="3:3" ht="15.75" customHeight="1">
      <c r="C248" s="4"/>
    </row>
    <row r="249" spans="3:3" ht="15.75" customHeight="1">
      <c r="C249" s="4"/>
    </row>
    <row r="250" spans="3:3" ht="15.75" customHeight="1">
      <c r="C250" s="4"/>
    </row>
    <row r="251" spans="3:3" ht="15.75" customHeight="1">
      <c r="C251" s="4"/>
    </row>
    <row r="252" spans="3:3" ht="15.75" customHeight="1">
      <c r="C252" s="4"/>
    </row>
    <row r="253" spans="3:3" ht="15.75" customHeight="1">
      <c r="C253" s="4"/>
    </row>
    <row r="254" spans="3:3" ht="15.75" customHeight="1">
      <c r="C254" s="4"/>
    </row>
    <row r="255" spans="3:3" ht="15.75" customHeight="1">
      <c r="C255" s="4"/>
    </row>
    <row r="256" spans="3:3" ht="15.75" customHeight="1">
      <c r="C256" s="4"/>
    </row>
    <row r="257" spans="3:3" ht="15.75" customHeight="1">
      <c r="C257" s="4"/>
    </row>
    <row r="258" spans="3:3" ht="15.75" customHeight="1">
      <c r="C258" s="4"/>
    </row>
    <row r="259" spans="3:3" ht="15.75" customHeight="1">
      <c r="C259" s="4"/>
    </row>
    <row r="260" spans="3:3" ht="15.75" customHeight="1">
      <c r="C260" s="4"/>
    </row>
    <row r="261" spans="3:3" ht="15.75" customHeight="1">
      <c r="C261" s="4"/>
    </row>
    <row r="262" spans="3:3" ht="15.75" customHeight="1">
      <c r="C262" s="4"/>
    </row>
    <row r="263" spans="3:3" ht="15.75" customHeight="1">
      <c r="C263" s="4"/>
    </row>
    <row r="264" spans="3:3" ht="15.75" customHeight="1">
      <c r="C264" s="4"/>
    </row>
    <row r="265" spans="3:3" ht="15.75" customHeight="1">
      <c r="C265" s="4"/>
    </row>
    <row r="266" spans="3:3" ht="15.75" customHeight="1">
      <c r="C266" s="4"/>
    </row>
    <row r="267" spans="3:3" ht="15.75" customHeight="1">
      <c r="C267" s="4"/>
    </row>
    <row r="268" spans="3:3" ht="15.75" customHeight="1">
      <c r="C268" s="4"/>
    </row>
    <row r="269" spans="3:3" ht="15.75" customHeight="1">
      <c r="C269" s="4"/>
    </row>
    <row r="270" spans="3:3" ht="15.75" customHeight="1">
      <c r="C270" s="4"/>
    </row>
    <row r="271" spans="3:3" ht="15.75" customHeight="1">
      <c r="C271" s="4"/>
    </row>
    <row r="272" spans="3:3" ht="15.75" customHeight="1">
      <c r="C272" s="4"/>
    </row>
    <row r="273" spans="3:3" ht="15.75" customHeight="1">
      <c r="C273" s="4"/>
    </row>
    <row r="274" spans="3:3" ht="15.75" customHeight="1">
      <c r="C274" s="4"/>
    </row>
    <row r="275" spans="3:3" ht="15.75" customHeight="1">
      <c r="C275" s="4"/>
    </row>
    <row r="276" spans="3:3" ht="15.75" customHeight="1">
      <c r="C276" s="4"/>
    </row>
    <row r="277" spans="3:3" ht="15.75" customHeight="1">
      <c r="C277" s="4"/>
    </row>
    <row r="278" spans="3:3" ht="15.75" customHeight="1">
      <c r="C278" s="4"/>
    </row>
    <row r="279" spans="3:3" ht="15.75" customHeight="1">
      <c r="C279" s="4"/>
    </row>
    <row r="280" spans="3:3" ht="15.75" customHeight="1">
      <c r="C280" s="4"/>
    </row>
    <row r="281" spans="3:3" ht="15.75" customHeight="1">
      <c r="C281" s="4"/>
    </row>
    <row r="282" spans="3:3" ht="15.75" customHeight="1">
      <c r="C282" s="4"/>
    </row>
    <row r="283" spans="3:3" ht="15.75" customHeight="1">
      <c r="C283" s="4"/>
    </row>
    <row r="284" spans="3:3" ht="15.75" customHeight="1">
      <c r="C284" s="4"/>
    </row>
    <row r="285" spans="3:3" ht="15.75" customHeight="1">
      <c r="C285" s="4"/>
    </row>
    <row r="286" spans="3:3" ht="15.75" customHeight="1">
      <c r="C286" s="4"/>
    </row>
    <row r="287" spans="3:3" ht="15.75" customHeight="1">
      <c r="C287" s="4"/>
    </row>
    <row r="288" spans="3:3" ht="15.75" customHeight="1">
      <c r="C288" s="4"/>
    </row>
    <row r="289" spans="3:3" ht="15.75" customHeight="1">
      <c r="C289" s="4"/>
    </row>
    <row r="290" spans="3:3" ht="15.75" customHeight="1">
      <c r="C290" s="4"/>
    </row>
    <row r="291" spans="3:3" ht="15.75" customHeight="1">
      <c r="C291" s="4"/>
    </row>
    <row r="292" spans="3:3" ht="15.75" customHeight="1">
      <c r="C292" s="4"/>
    </row>
    <row r="293" spans="3:3" ht="15.75" customHeight="1">
      <c r="C293" s="4"/>
    </row>
    <row r="294" spans="3:3" ht="15.75" customHeight="1">
      <c r="C294" s="4"/>
    </row>
    <row r="295" spans="3:3" ht="15.75" customHeight="1">
      <c r="C295" s="4"/>
    </row>
    <row r="296" spans="3:3" ht="15.75" customHeight="1">
      <c r="C296" s="4"/>
    </row>
    <row r="297" spans="3:3" ht="15.75" customHeight="1">
      <c r="C297" s="4"/>
    </row>
    <row r="298" spans="3:3" ht="15.75" customHeight="1">
      <c r="C298" s="4"/>
    </row>
    <row r="299" spans="3:3" ht="15.75" customHeight="1">
      <c r="C299" s="4"/>
    </row>
    <row r="300" spans="3:3" ht="15.75" customHeight="1">
      <c r="C300" s="4"/>
    </row>
    <row r="301" spans="3:3" ht="15.75" customHeight="1">
      <c r="C301" s="4"/>
    </row>
    <row r="302" spans="3:3" ht="15.75" customHeight="1">
      <c r="C302" s="4"/>
    </row>
    <row r="303" spans="3:3" ht="15.75" customHeight="1">
      <c r="C303" s="4"/>
    </row>
    <row r="304" spans="3:3" ht="15.75" customHeight="1">
      <c r="C304" s="4"/>
    </row>
    <row r="305" spans="3:3" ht="15.75" customHeight="1">
      <c r="C305" s="4"/>
    </row>
    <row r="306" spans="3:3" ht="15.75" customHeight="1">
      <c r="C306" s="4"/>
    </row>
    <row r="307" spans="3:3" ht="15.75" customHeight="1">
      <c r="C307" s="4"/>
    </row>
    <row r="308" spans="3:3" ht="15.75" customHeight="1">
      <c r="C308" s="4"/>
    </row>
    <row r="309" spans="3:3" ht="15.75" customHeight="1">
      <c r="C309" s="4"/>
    </row>
    <row r="310" spans="3:3" ht="15.75" customHeight="1">
      <c r="C310" s="4"/>
    </row>
    <row r="311" spans="3:3" ht="15.75" customHeight="1">
      <c r="C311" s="4"/>
    </row>
    <row r="312" spans="3:3" ht="15.75" customHeight="1">
      <c r="C312" s="4"/>
    </row>
    <row r="313" spans="3:3" ht="15.75" customHeight="1">
      <c r="C313" s="4"/>
    </row>
    <row r="314" spans="3:3" ht="15.75" customHeight="1">
      <c r="C314" s="4"/>
    </row>
    <row r="315" spans="3:3" ht="15.75" customHeight="1">
      <c r="C315" s="4"/>
    </row>
    <row r="316" spans="3:3" ht="15.75" customHeight="1">
      <c r="C316" s="4"/>
    </row>
    <row r="317" spans="3:3" ht="15.75" customHeight="1">
      <c r="C317" s="4"/>
    </row>
    <row r="318" spans="3:3" ht="15.75" customHeight="1">
      <c r="C318" s="4"/>
    </row>
    <row r="319" spans="3:3" ht="15.75" customHeight="1">
      <c r="C319" s="4"/>
    </row>
    <row r="320" spans="3:3" ht="15.75" customHeight="1">
      <c r="C320" s="4"/>
    </row>
    <row r="321" spans="3:3" ht="15.75" customHeight="1">
      <c r="C321" s="4"/>
    </row>
    <row r="322" spans="3:3" ht="15.75" customHeight="1">
      <c r="C322" s="4"/>
    </row>
    <row r="323" spans="3:3" ht="15.75" customHeight="1">
      <c r="C323" s="4"/>
    </row>
    <row r="324" spans="3:3" ht="15.75" customHeight="1">
      <c r="C324" s="4"/>
    </row>
    <row r="325" spans="3:3" ht="15.75" customHeight="1">
      <c r="C325" s="4"/>
    </row>
    <row r="326" spans="3:3" ht="15.75" customHeight="1">
      <c r="C326" s="4"/>
    </row>
    <row r="327" spans="3:3" ht="15.75" customHeight="1">
      <c r="C327" s="4"/>
    </row>
    <row r="328" spans="3:3" ht="15.75" customHeight="1">
      <c r="C328" s="4"/>
    </row>
    <row r="329" spans="3:3" ht="15.75" customHeight="1">
      <c r="C329" s="4"/>
    </row>
    <row r="330" spans="3:3" ht="15.75" customHeight="1">
      <c r="C330" s="4"/>
    </row>
    <row r="331" spans="3:3" ht="15.75" customHeight="1">
      <c r="C331" s="4"/>
    </row>
    <row r="332" spans="3:3" ht="15.75" customHeight="1">
      <c r="C332" s="4"/>
    </row>
    <row r="333" spans="3:3" ht="15.75" customHeight="1">
      <c r="C333" s="4"/>
    </row>
    <row r="334" spans="3:3" ht="15.75" customHeight="1">
      <c r="C334" s="4"/>
    </row>
    <row r="335" spans="3:3" ht="15.75" customHeight="1">
      <c r="C335" s="4"/>
    </row>
    <row r="336" spans="3:3" ht="15.75" customHeight="1">
      <c r="C336" s="4"/>
    </row>
    <row r="337" spans="3:3" ht="15.75" customHeight="1">
      <c r="C337" s="4"/>
    </row>
    <row r="338" spans="3:3" ht="15.75" customHeight="1">
      <c r="C338" s="4"/>
    </row>
    <row r="339" spans="3:3" ht="15.75" customHeight="1">
      <c r="C339" s="4"/>
    </row>
    <row r="340" spans="3:3" ht="15.75" customHeight="1">
      <c r="C340" s="4"/>
    </row>
    <row r="341" spans="3:3" ht="15.75" customHeight="1">
      <c r="C341" s="4"/>
    </row>
    <row r="342" spans="3:3" ht="15.75" customHeight="1">
      <c r="C342" s="4"/>
    </row>
    <row r="343" spans="3:3" ht="15.75" customHeight="1">
      <c r="C343" s="4"/>
    </row>
    <row r="344" spans="3:3" ht="15.75" customHeight="1">
      <c r="C344" s="4"/>
    </row>
    <row r="345" spans="3:3" ht="15.75" customHeight="1">
      <c r="C345" s="4"/>
    </row>
    <row r="346" spans="3:3" ht="15.75" customHeight="1">
      <c r="C346" s="4"/>
    </row>
    <row r="347" spans="3:3" ht="15.75" customHeight="1">
      <c r="C347" s="4"/>
    </row>
    <row r="348" spans="3:3" ht="15.75" customHeight="1">
      <c r="C348" s="4"/>
    </row>
    <row r="349" spans="3:3" ht="15.75" customHeight="1">
      <c r="C349" s="4"/>
    </row>
    <row r="350" spans="3:3" ht="15.75" customHeight="1">
      <c r="C350" s="4"/>
    </row>
    <row r="351" spans="3:3" ht="15.75" customHeight="1">
      <c r="C351" s="4"/>
    </row>
    <row r="352" spans="3:3" ht="15.75" customHeight="1">
      <c r="C352" s="4"/>
    </row>
    <row r="353" spans="3:3" ht="15.75" customHeight="1">
      <c r="C353" s="4"/>
    </row>
    <row r="354" spans="3:3" ht="15.75" customHeight="1">
      <c r="C354" s="4"/>
    </row>
    <row r="355" spans="3:3" ht="15.75" customHeight="1">
      <c r="C355" s="4"/>
    </row>
    <row r="356" spans="3:3" ht="15.75" customHeight="1">
      <c r="C356" s="4"/>
    </row>
    <row r="357" spans="3:3" ht="15.75" customHeight="1">
      <c r="C357" s="4"/>
    </row>
    <row r="358" spans="3:3" ht="15.75" customHeight="1">
      <c r="C358" s="4"/>
    </row>
    <row r="359" spans="3:3" ht="15.75" customHeight="1">
      <c r="C359" s="4"/>
    </row>
    <row r="360" spans="3:3" ht="15.75" customHeight="1">
      <c r="C360" s="4"/>
    </row>
    <row r="361" spans="3:3" ht="15.75" customHeight="1">
      <c r="C361" s="4"/>
    </row>
    <row r="362" spans="3:3" ht="15.75" customHeight="1">
      <c r="C362" s="4"/>
    </row>
    <row r="363" spans="3:3" ht="15.75" customHeight="1">
      <c r="C363" s="4"/>
    </row>
    <row r="364" spans="3:3" ht="15.75" customHeight="1">
      <c r="C364" s="4"/>
    </row>
    <row r="365" spans="3:3" ht="15.75" customHeight="1">
      <c r="C365" s="4"/>
    </row>
    <row r="366" spans="3:3" ht="15.75" customHeight="1">
      <c r="C366" s="4"/>
    </row>
    <row r="367" spans="3:3" ht="15.75" customHeight="1">
      <c r="C367" s="4"/>
    </row>
    <row r="368" spans="3:3" ht="15.75" customHeight="1">
      <c r="C368" s="4"/>
    </row>
    <row r="369" spans="3:3" ht="15.75" customHeight="1">
      <c r="C369" s="4"/>
    </row>
    <row r="370" spans="3:3" ht="15.75" customHeight="1">
      <c r="C370" s="4"/>
    </row>
    <row r="371" spans="3:3" ht="15.75" customHeight="1">
      <c r="C371" s="4"/>
    </row>
    <row r="372" spans="3:3" ht="15.75" customHeight="1">
      <c r="C372" s="4"/>
    </row>
    <row r="373" spans="3:3" ht="15.75" customHeight="1">
      <c r="C373" s="4"/>
    </row>
    <row r="374" spans="3:3" ht="15.75" customHeight="1">
      <c r="C374" s="4"/>
    </row>
    <row r="375" spans="3:3" ht="15.75" customHeight="1">
      <c r="C375" s="4"/>
    </row>
    <row r="376" spans="3:3" ht="15.75" customHeight="1">
      <c r="C376" s="4"/>
    </row>
    <row r="377" spans="3:3" ht="15.75" customHeight="1">
      <c r="C377" s="4"/>
    </row>
    <row r="378" spans="3:3" ht="15.75" customHeight="1">
      <c r="C378" s="4"/>
    </row>
    <row r="379" spans="3:3" ht="15.75" customHeight="1">
      <c r="C379" s="4"/>
    </row>
    <row r="380" spans="3:3" ht="15.75" customHeight="1">
      <c r="C380" s="4"/>
    </row>
    <row r="381" spans="3:3" ht="15.75" customHeight="1">
      <c r="C381" s="4"/>
    </row>
    <row r="382" spans="3:3" ht="15.75" customHeight="1">
      <c r="C382" s="4"/>
    </row>
    <row r="383" spans="3:3" ht="15.75" customHeight="1">
      <c r="C383" s="4"/>
    </row>
    <row r="384" spans="3:3" ht="15.75" customHeight="1">
      <c r="C384" s="4"/>
    </row>
    <row r="385" spans="3:3" ht="15.75" customHeight="1">
      <c r="C385" s="4"/>
    </row>
    <row r="386" spans="3:3" ht="15.75" customHeight="1">
      <c r="C386" s="4"/>
    </row>
    <row r="387" spans="3:3" ht="15.75" customHeight="1">
      <c r="C387" s="4"/>
    </row>
    <row r="388" spans="3:3" ht="15.75" customHeight="1">
      <c r="C388" s="4"/>
    </row>
    <row r="389" spans="3:3" ht="15.75" customHeight="1">
      <c r="C389" s="4"/>
    </row>
    <row r="390" spans="3:3" ht="15.75" customHeight="1">
      <c r="C390" s="4"/>
    </row>
    <row r="391" spans="3:3" ht="15.75" customHeight="1">
      <c r="C391" s="4"/>
    </row>
    <row r="392" spans="3:3" ht="15.75" customHeight="1">
      <c r="C392" s="4"/>
    </row>
    <row r="393" spans="3:3" ht="15.75" customHeight="1">
      <c r="C393" s="4"/>
    </row>
    <row r="394" spans="3:3" ht="15.75" customHeight="1">
      <c r="C394" s="4"/>
    </row>
    <row r="395" spans="3:3" ht="15.75" customHeight="1">
      <c r="C395" s="4"/>
    </row>
    <row r="396" spans="3:3" ht="15.75" customHeight="1">
      <c r="C396" s="4"/>
    </row>
    <row r="397" spans="3:3" ht="15.75" customHeight="1">
      <c r="C397" s="4"/>
    </row>
    <row r="398" spans="3:3" ht="15.75" customHeight="1">
      <c r="C398" s="4"/>
    </row>
    <row r="399" spans="3:3" ht="15.75" customHeight="1">
      <c r="C399" s="4"/>
    </row>
    <row r="400" spans="3:3" ht="15.75" customHeight="1">
      <c r="C400" s="4"/>
    </row>
    <row r="401" spans="3:3" ht="15.75" customHeight="1">
      <c r="C401" s="4"/>
    </row>
    <row r="402" spans="3:3" ht="15.75" customHeight="1">
      <c r="C402" s="4"/>
    </row>
    <row r="403" spans="3:3" ht="15.75" customHeight="1">
      <c r="C403" s="4"/>
    </row>
    <row r="404" spans="3:3" ht="15.75" customHeight="1">
      <c r="C404" s="4"/>
    </row>
    <row r="405" spans="3:3" ht="15.75" customHeight="1">
      <c r="C405" s="4"/>
    </row>
    <row r="406" spans="3:3" ht="15.75" customHeight="1">
      <c r="C406" s="4"/>
    </row>
    <row r="407" spans="3:3" ht="15.75" customHeight="1">
      <c r="C407" s="4"/>
    </row>
    <row r="408" spans="3:3" ht="15.75" customHeight="1">
      <c r="C408" s="4"/>
    </row>
    <row r="409" spans="3:3" ht="15.75" customHeight="1">
      <c r="C409" s="4"/>
    </row>
    <row r="410" spans="3:3" ht="15.75" customHeight="1">
      <c r="C410" s="4"/>
    </row>
    <row r="411" spans="3:3" ht="15.75" customHeight="1">
      <c r="C411" s="4"/>
    </row>
    <row r="412" spans="3:3" ht="15.75" customHeight="1">
      <c r="C412" s="4"/>
    </row>
    <row r="413" spans="3:3" ht="15.75" customHeight="1">
      <c r="C413" s="4"/>
    </row>
    <row r="414" spans="3:3" ht="15.75" customHeight="1">
      <c r="C414" s="4"/>
    </row>
    <row r="415" spans="3:3" ht="15.75" customHeight="1">
      <c r="C415" s="4"/>
    </row>
    <row r="416" spans="3:3" ht="15.75" customHeight="1">
      <c r="C416" s="4"/>
    </row>
    <row r="417" spans="3:3" ht="15.75" customHeight="1">
      <c r="C417" s="4"/>
    </row>
    <row r="418" spans="3:3" ht="15.75" customHeight="1">
      <c r="C418" s="4"/>
    </row>
    <row r="419" spans="3:3" ht="15.75" customHeight="1">
      <c r="C419" s="4"/>
    </row>
    <row r="420" spans="3:3" ht="15.75" customHeight="1">
      <c r="C420" s="4"/>
    </row>
    <row r="421" spans="3:3" ht="15.75" customHeight="1">
      <c r="C421" s="4"/>
    </row>
    <row r="422" spans="3:3" ht="15.75" customHeight="1">
      <c r="C422" s="4"/>
    </row>
    <row r="423" spans="3:3" ht="15.75" customHeight="1">
      <c r="C423" s="4"/>
    </row>
    <row r="424" spans="3:3" ht="15.75" customHeight="1">
      <c r="C424" s="4"/>
    </row>
    <row r="425" spans="3:3" ht="15.75" customHeight="1">
      <c r="C425" s="4"/>
    </row>
    <row r="426" spans="3:3" ht="15.75" customHeight="1">
      <c r="C426" s="4"/>
    </row>
    <row r="427" spans="3:3" ht="15.75" customHeight="1">
      <c r="C427" s="4"/>
    </row>
    <row r="428" spans="3:3" ht="15.75" customHeight="1">
      <c r="C428" s="4"/>
    </row>
    <row r="429" spans="3:3" ht="15.75" customHeight="1">
      <c r="C429" s="4"/>
    </row>
    <row r="430" spans="3:3" ht="15.75" customHeight="1">
      <c r="C430" s="4"/>
    </row>
    <row r="431" spans="3:3" ht="15.75" customHeight="1">
      <c r="C431" s="4"/>
    </row>
    <row r="432" spans="3:3" ht="15.75" customHeight="1">
      <c r="C432" s="4"/>
    </row>
    <row r="433" spans="3:3" ht="15.75" customHeight="1">
      <c r="C433" s="4"/>
    </row>
    <row r="434" spans="3:3" ht="15.75" customHeight="1">
      <c r="C434" s="4"/>
    </row>
    <row r="435" spans="3:3" ht="15.75" customHeight="1">
      <c r="C435" s="4"/>
    </row>
    <row r="436" spans="3:3" ht="15.75" customHeight="1">
      <c r="C436" s="4"/>
    </row>
    <row r="437" spans="3:3" ht="15.75" customHeight="1">
      <c r="C437" s="4"/>
    </row>
    <row r="438" spans="3:3" ht="15.75" customHeight="1">
      <c r="C438" s="4"/>
    </row>
    <row r="439" spans="3:3" ht="15.75" customHeight="1">
      <c r="C439" s="4"/>
    </row>
    <row r="440" spans="3:3" ht="15.75" customHeight="1">
      <c r="C440" s="4"/>
    </row>
    <row r="441" spans="3:3" ht="15.75" customHeight="1">
      <c r="C441" s="4"/>
    </row>
    <row r="442" spans="3:3" ht="15.75" customHeight="1">
      <c r="C442" s="4"/>
    </row>
    <row r="443" spans="3:3" ht="15.75" customHeight="1">
      <c r="C443" s="4"/>
    </row>
    <row r="444" spans="3:3" ht="15.75" customHeight="1">
      <c r="C444" s="4"/>
    </row>
    <row r="445" spans="3:3" ht="15.75" customHeight="1">
      <c r="C445" s="4"/>
    </row>
    <row r="446" spans="3:3" ht="15.75" customHeight="1">
      <c r="C446" s="4"/>
    </row>
    <row r="447" spans="3:3" ht="15.75" customHeight="1">
      <c r="C447" s="4"/>
    </row>
    <row r="448" spans="3:3" ht="15.75" customHeight="1">
      <c r="C448" s="4"/>
    </row>
    <row r="449" spans="3:3" ht="15.75" customHeight="1">
      <c r="C449" s="4"/>
    </row>
    <row r="450" spans="3:3" ht="15.75" customHeight="1">
      <c r="C450" s="4"/>
    </row>
    <row r="451" spans="3:3" ht="15.75" customHeight="1">
      <c r="C451" s="4"/>
    </row>
    <row r="452" spans="3:3" ht="15.75" customHeight="1">
      <c r="C452" s="4"/>
    </row>
    <row r="453" spans="3:3" ht="15.75" customHeight="1">
      <c r="C453" s="4"/>
    </row>
    <row r="454" spans="3:3" ht="15.75" customHeight="1">
      <c r="C454" s="4"/>
    </row>
    <row r="455" spans="3:3" ht="15.75" customHeight="1">
      <c r="C455" s="4"/>
    </row>
    <row r="456" spans="3:3" ht="15.75" customHeight="1">
      <c r="C456" s="4"/>
    </row>
    <row r="457" spans="3:3" ht="15.75" customHeight="1">
      <c r="C457" s="4"/>
    </row>
    <row r="458" spans="3:3" ht="15.75" customHeight="1">
      <c r="C458" s="4"/>
    </row>
    <row r="459" spans="3:3" ht="15.75" customHeight="1">
      <c r="C459" s="4"/>
    </row>
    <row r="460" spans="3:3" ht="15.75" customHeight="1">
      <c r="C460" s="4"/>
    </row>
    <row r="461" spans="3:3" ht="15.75" customHeight="1">
      <c r="C461" s="4"/>
    </row>
    <row r="462" spans="3:3" ht="15.75" customHeight="1">
      <c r="C462" s="4"/>
    </row>
    <row r="463" spans="3:3" ht="15.75" customHeight="1">
      <c r="C463" s="4"/>
    </row>
    <row r="464" spans="3:3" ht="15.75" customHeight="1">
      <c r="C464" s="4"/>
    </row>
    <row r="465" spans="3:3" ht="15.75" customHeight="1">
      <c r="C465" s="4"/>
    </row>
    <row r="466" spans="3:3" ht="15.75" customHeight="1">
      <c r="C466" s="4"/>
    </row>
    <row r="467" spans="3:3" ht="15.75" customHeight="1">
      <c r="C467" s="4"/>
    </row>
    <row r="468" spans="3:3" ht="15.75" customHeight="1">
      <c r="C468" s="4"/>
    </row>
    <row r="469" spans="3:3" ht="15.75" customHeight="1">
      <c r="C469" s="4"/>
    </row>
    <row r="470" spans="3:3" ht="15.75" customHeight="1">
      <c r="C470" s="4"/>
    </row>
    <row r="471" spans="3:3" ht="15.75" customHeight="1">
      <c r="C471" s="4"/>
    </row>
    <row r="472" spans="3:3" ht="15.75" customHeight="1">
      <c r="C472" s="4"/>
    </row>
    <row r="473" spans="3:3" ht="15.75" customHeight="1">
      <c r="C473" s="4"/>
    </row>
    <row r="474" spans="3:3" ht="15.75" customHeight="1">
      <c r="C474" s="4"/>
    </row>
    <row r="475" spans="3:3" ht="15.75" customHeight="1">
      <c r="C475" s="4"/>
    </row>
    <row r="476" spans="3:3" ht="15.75" customHeight="1">
      <c r="C476" s="4"/>
    </row>
    <row r="477" spans="3:3" ht="15.75" customHeight="1">
      <c r="C477" s="4"/>
    </row>
    <row r="478" spans="3:3" ht="15.75" customHeight="1">
      <c r="C478" s="4"/>
    </row>
    <row r="479" spans="3:3" ht="15.75" customHeight="1">
      <c r="C479" s="4"/>
    </row>
    <row r="480" spans="3:3" ht="15.75" customHeight="1">
      <c r="C480" s="4"/>
    </row>
    <row r="481" spans="3:3" ht="15.75" customHeight="1">
      <c r="C481" s="4"/>
    </row>
    <row r="482" spans="3:3" ht="15.75" customHeight="1">
      <c r="C482" s="4"/>
    </row>
    <row r="483" spans="3:3" ht="15.75" customHeight="1">
      <c r="C483" s="4"/>
    </row>
    <row r="484" spans="3:3" ht="15.75" customHeight="1">
      <c r="C484" s="4"/>
    </row>
    <row r="485" spans="3:3" ht="15.75" customHeight="1">
      <c r="C485" s="4"/>
    </row>
    <row r="486" spans="3:3" ht="15.75" customHeight="1">
      <c r="C486" s="4"/>
    </row>
    <row r="487" spans="3:3" ht="15.75" customHeight="1">
      <c r="C487" s="4"/>
    </row>
    <row r="488" spans="3:3" ht="15.75" customHeight="1">
      <c r="C488" s="4"/>
    </row>
    <row r="489" spans="3:3" ht="15.75" customHeight="1">
      <c r="C489" s="4"/>
    </row>
    <row r="490" spans="3:3" ht="15.75" customHeight="1">
      <c r="C490" s="4"/>
    </row>
    <row r="491" spans="3:3" ht="15.75" customHeight="1">
      <c r="C491" s="4"/>
    </row>
    <row r="492" spans="3:3" ht="15.75" customHeight="1">
      <c r="C492" s="4"/>
    </row>
    <row r="493" spans="3:3" ht="15.75" customHeight="1">
      <c r="C493" s="4"/>
    </row>
    <row r="494" spans="3:3" ht="15.75" customHeight="1">
      <c r="C494" s="4"/>
    </row>
    <row r="495" spans="3:3" ht="15.75" customHeight="1">
      <c r="C495" s="4"/>
    </row>
    <row r="496" spans="3:3" ht="15.75" customHeight="1">
      <c r="C496" s="4"/>
    </row>
    <row r="497" spans="3:3" ht="15.75" customHeight="1">
      <c r="C497" s="4"/>
    </row>
    <row r="498" spans="3:3" ht="15.75" customHeight="1">
      <c r="C498" s="4"/>
    </row>
    <row r="499" spans="3:3" ht="15.75" customHeight="1">
      <c r="C499" s="4"/>
    </row>
    <row r="500" spans="3:3" ht="15.75" customHeight="1">
      <c r="C500" s="4"/>
    </row>
    <row r="501" spans="3:3" ht="15.75" customHeight="1">
      <c r="C501" s="4"/>
    </row>
    <row r="502" spans="3:3" ht="15.75" customHeight="1">
      <c r="C502" s="4"/>
    </row>
    <row r="503" spans="3:3" ht="15.75" customHeight="1">
      <c r="C503" s="4"/>
    </row>
    <row r="504" spans="3:3" ht="15.75" customHeight="1">
      <c r="C504" s="4"/>
    </row>
    <row r="505" spans="3:3" ht="15.75" customHeight="1">
      <c r="C505" s="4"/>
    </row>
    <row r="506" spans="3:3" ht="15.75" customHeight="1">
      <c r="C506" s="4"/>
    </row>
    <row r="507" spans="3:3" ht="15.75" customHeight="1">
      <c r="C507" s="4"/>
    </row>
    <row r="508" spans="3:3" ht="15.75" customHeight="1">
      <c r="C508" s="4"/>
    </row>
    <row r="509" spans="3:3" ht="15.75" customHeight="1">
      <c r="C509" s="4"/>
    </row>
    <row r="510" spans="3:3" ht="15.75" customHeight="1">
      <c r="C510" s="4"/>
    </row>
    <row r="511" spans="3:3" ht="15.75" customHeight="1">
      <c r="C511" s="4"/>
    </row>
    <row r="512" spans="3:3" ht="15.75" customHeight="1">
      <c r="C512" s="4"/>
    </row>
    <row r="513" spans="3:3" ht="15.75" customHeight="1">
      <c r="C513" s="4"/>
    </row>
    <row r="514" spans="3:3" ht="15.75" customHeight="1">
      <c r="C514" s="4"/>
    </row>
    <row r="515" spans="3:3" ht="15.75" customHeight="1">
      <c r="C515" s="4"/>
    </row>
    <row r="516" spans="3:3" ht="15.75" customHeight="1">
      <c r="C516" s="4"/>
    </row>
    <row r="517" spans="3:3" ht="15.75" customHeight="1">
      <c r="C517" s="4"/>
    </row>
    <row r="518" spans="3:3" ht="15.75" customHeight="1">
      <c r="C518" s="4"/>
    </row>
    <row r="519" spans="3:3" ht="15.75" customHeight="1">
      <c r="C519" s="4"/>
    </row>
    <row r="520" spans="3:3" ht="15.75" customHeight="1">
      <c r="C520" s="4"/>
    </row>
    <row r="521" spans="3:3" ht="15.75" customHeight="1">
      <c r="C521" s="4"/>
    </row>
    <row r="522" spans="3:3" ht="15.75" customHeight="1">
      <c r="C522" s="4"/>
    </row>
    <row r="523" spans="3:3" ht="15.75" customHeight="1">
      <c r="C523" s="4"/>
    </row>
    <row r="524" spans="3:3" ht="15.75" customHeight="1">
      <c r="C524" s="4"/>
    </row>
    <row r="525" spans="3:3" ht="15.75" customHeight="1">
      <c r="C525" s="4"/>
    </row>
    <row r="526" spans="3:3" ht="15.75" customHeight="1">
      <c r="C526" s="4"/>
    </row>
    <row r="527" spans="3:3" ht="15.75" customHeight="1">
      <c r="C527" s="4"/>
    </row>
    <row r="528" spans="3:3" ht="15.75" customHeight="1">
      <c r="C528" s="4"/>
    </row>
    <row r="529" spans="3:3" ht="15.75" customHeight="1">
      <c r="C529" s="4"/>
    </row>
    <row r="530" spans="3:3" ht="15.75" customHeight="1">
      <c r="C530" s="4"/>
    </row>
    <row r="531" spans="3:3" ht="15.75" customHeight="1">
      <c r="C531" s="4"/>
    </row>
    <row r="532" spans="3:3" ht="15.75" customHeight="1">
      <c r="C532" s="4"/>
    </row>
    <row r="533" spans="3:3" ht="15.75" customHeight="1">
      <c r="C533" s="4"/>
    </row>
    <row r="534" spans="3:3" ht="15.75" customHeight="1">
      <c r="C534" s="4"/>
    </row>
    <row r="535" spans="3:3" ht="15.75" customHeight="1">
      <c r="C535" s="4"/>
    </row>
    <row r="536" spans="3:3" ht="15.75" customHeight="1">
      <c r="C536" s="4"/>
    </row>
    <row r="537" spans="3:3" ht="15.75" customHeight="1">
      <c r="C537" s="4"/>
    </row>
    <row r="538" spans="3:3" ht="15.75" customHeight="1">
      <c r="C538" s="4"/>
    </row>
    <row r="539" spans="3:3" ht="15.75" customHeight="1">
      <c r="C539" s="4"/>
    </row>
    <row r="540" spans="3:3" ht="15.75" customHeight="1">
      <c r="C540" s="4"/>
    </row>
    <row r="541" spans="3:3" ht="15.75" customHeight="1">
      <c r="C541" s="4"/>
    </row>
    <row r="542" spans="3:3" ht="15.75" customHeight="1">
      <c r="C542" s="4"/>
    </row>
    <row r="543" spans="3:3" ht="15.75" customHeight="1">
      <c r="C543" s="4"/>
    </row>
    <row r="544" spans="3:3" ht="15.75" customHeight="1">
      <c r="C544" s="4"/>
    </row>
    <row r="545" spans="3:3" ht="15.75" customHeight="1">
      <c r="C545" s="4"/>
    </row>
    <row r="546" spans="3:3" ht="15.75" customHeight="1">
      <c r="C546" s="4"/>
    </row>
    <row r="547" spans="3:3" ht="15.75" customHeight="1">
      <c r="C547" s="4"/>
    </row>
    <row r="548" spans="3:3" ht="15.75" customHeight="1">
      <c r="C548" s="4"/>
    </row>
    <row r="549" spans="3:3" ht="15.75" customHeight="1">
      <c r="C549" s="4"/>
    </row>
    <row r="550" spans="3:3" ht="15.75" customHeight="1">
      <c r="C550" s="4"/>
    </row>
    <row r="551" spans="3:3" ht="15.75" customHeight="1">
      <c r="C551" s="4"/>
    </row>
    <row r="552" spans="3:3" ht="15.75" customHeight="1">
      <c r="C552" s="4"/>
    </row>
    <row r="553" spans="3:3" ht="15.75" customHeight="1">
      <c r="C553" s="4"/>
    </row>
    <row r="554" spans="3:3" ht="15.75" customHeight="1">
      <c r="C554" s="4"/>
    </row>
    <row r="555" spans="3:3" ht="15.75" customHeight="1">
      <c r="C555" s="4"/>
    </row>
    <row r="556" spans="3:3" ht="15.75" customHeight="1">
      <c r="C556" s="4"/>
    </row>
    <row r="557" spans="3:3" ht="15.75" customHeight="1">
      <c r="C557" s="4"/>
    </row>
    <row r="558" spans="3:3" ht="15.75" customHeight="1">
      <c r="C558" s="4"/>
    </row>
    <row r="559" spans="3:3" ht="15.75" customHeight="1">
      <c r="C559" s="4"/>
    </row>
    <row r="560" spans="3:3" ht="15.75" customHeight="1">
      <c r="C560" s="4"/>
    </row>
    <row r="561" spans="3:3" ht="15.75" customHeight="1">
      <c r="C561" s="4"/>
    </row>
    <row r="562" spans="3:3" ht="15.75" customHeight="1">
      <c r="C562" s="4"/>
    </row>
    <row r="563" spans="3:3" ht="15.75" customHeight="1">
      <c r="C563" s="4"/>
    </row>
    <row r="564" spans="3:3" ht="15.75" customHeight="1">
      <c r="C564" s="4"/>
    </row>
    <row r="565" spans="3:3" ht="15.75" customHeight="1">
      <c r="C565" s="4"/>
    </row>
    <row r="566" spans="3:3" ht="15.75" customHeight="1">
      <c r="C566" s="4"/>
    </row>
    <row r="567" spans="3:3" ht="15.75" customHeight="1">
      <c r="C567" s="4"/>
    </row>
    <row r="568" spans="3:3" ht="15.75" customHeight="1">
      <c r="C568" s="4"/>
    </row>
    <row r="569" spans="3:3" ht="15.75" customHeight="1">
      <c r="C569" s="4"/>
    </row>
    <row r="570" spans="3:3" ht="15.75" customHeight="1">
      <c r="C570" s="4"/>
    </row>
    <row r="571" spans="3:3" ht="15.75" customHeight="1">
      <c r="C571" s="4"/>
    </row>
    <row r="572" spans="3:3" ht="15.75" customHeight="1">
      <c r="C572" s="4"/>
    </row>
    <row r="573" spans="3:3" ht="15.75" customHeight="1">
      <c r="C573" s="4"/>
    </row>
    <row r="574" spans="3:3" ht="15.75" customHeight="1">
      <c r="C574" s="4"/>
    </row>
    <row r="575" spans="3:3" ht="15.75" customHeight="1">
      <c r="C575" s="4"/>
    </row>
    <row r="576" spans="3:3" ht="15.75" customHeight="1">
      <c r="C576" s="4"/>
    </row>
    <row r="577" spans="3:3" ht="15.75" customHeight="1">
      <c r="C577" s="4"/>
    </row>
    <row r="578" spans="3:3" ht="15.75" customHeight="1">
      <c r="C578" s="4"/>
    </row>
    <row r="579" spans="3:3" ht="15.75" customHeight="1">
      <c r="C579" s="4"/>
    </row>
    <row r="580" spans="3:3" ht="15.75" customHeight="1">
      <c r="C580" s="4"/>
    </row>
    <row r="581" spans="3:3" ht="15.75" customHeight="1">
      <c r="C581" s="4"/>
    </row>
    <row r="582" spans="3:3" ht="15.75" customHeight="1">
      <c r="C582" s="4"/>
    </row>
    <row r="583" spans="3:3" ht="15.75" customHeight="1">
      <c r="C583" s="4"/>
    </row>
    <row r="584" spans="3:3" ht="15.75" customHeight="1">
      <c r="C584" s="4"/>
    </row>
    <row r="585" spans="3:3" ht="15.75" customHeight="1">
      <c r="C585" s="4"/>
    </row>
    <row r="586" spans="3:3" ht="15.75" customHeight="1">
      <c r="C586" s="4"/>
    </row>
    <row r="587" spans="3:3" ht="15.75" customHeight="1">
      <c r="C587" s="4"/>
    </row>
    <row r="588" spans="3:3" ht="15.75" customHeight="1">
      <c r="C588" s="4"/>
    </row>
    <row r="589" spans="3:3" ht="15.75" customHeight="1">
      <c r="C589" s="4"/>
    </row>
    <row r="590" spans="3:3" ht="15.75" customHeight="1">
      <c r="C590" s="4"/>
    </row>
    <row r="591" spans="3:3" ht="15.75" customHeight="1">
      <c r="C591" s="4"/>
    </row>
    <row r="592" spans="3:3" ht="15.75" customHeight="1">
      <c r="C592" s="4"/>
    </row>
    <row r="593" spans="3:3" ht="15.75" customHeight="1">
      <c r="C593" s="4"/>
    </row>
    <row r="594" spans="3:3" ht="15.75" customHeight="1">
      <c r="C594" s="4"/>
    </row>
    <row r="595" spans="3:3" ht="15.75" customHeight="1">
      <c r="C595" s="4"/>
    </row>
    <row r="596" spans="3:3" ht="15.75" customHeight="1">
      <c r="C596" s="4"/>
    </row>
    <row r="597" spans="3:3" ht="15.75" customHeight="1">
      <c r="C597" s="4"/>
    </row>
    <row r="598" spans="3:3" ht="15.75" customHeight="1">
      <c r="C598" s="4"/>
    </row>
    <row r="599" spans="3:3" ht="15.75" customHeight="1">
      <c r="C599" s="4"/>
    </row>
    <row r="600" spans="3:3" ht="15.75" customHeight="1">
      <c r="C600" s="4"/>
    </row>
    <row r="601" spans="3:3" ht="15.75" customHeight="1">
      <c r="C601" s="4"/>
    </row>
    <row r="602" spans="3:3" ht="15.75" customHeight="1">
      <c r="C602" s="4"/>
    </row>
    <row r="603" spans="3:3" ht="15.75" customHeight="1">
      <c r="C603" s="4"/>
    </row>
    <row r="604" spans="3:3" ht="15.75" customHeight="1">
      <c r="C604" s="4"/>
    </row>
    <row r="605" spans="3:3" ht="15.75" customHeight="1">
      <c r="C605" s="4"/>
    </row>
    <row r="606" spans="3:3" ht="15.75" customHeight="1">
      <c r="C606" s="4"/>
    </row>
    <row r="607" spans="3:3" ht="15.75" customHeight="1">
      <c r="C607" s="4"/>
    </row>
    <row r="608" spans="3:3" ht="15.75" customHeight="1">
      <c r="C608" s="4"/>
    </row>
    <row r="609" spans="3:3" ht="15.75" customHeight="1">
      <c r="C609" s="4"/>
    </row>
    <row r="610" spans="3:3" ht="15.75" customHeight="1">
      <c r="C610" s="4"/>
    </row>
    <row r="611" spans="3:3" ht="15.75" customHeight="1">
      <c r="C611" s="4"/>
    </row>
    <row r="612" spans="3:3" ht="15.75" customHeight="1">
      <c r="C612" s="4"/>
    </row>
    <row r="613" spans="3:3" ht="15.75" customHeight="1">
      <c r="C613" s="4"/>
    </row>
    <row r="614" spans="3:3" ht="15.75" customHeight="1">
      <c r="C614" s="4"/>
    </row>
    <row r="615" spans="3:3" ht="15.75" customHeight="1">
      <c r="C615" s="4"/>
    </row>
    <row r="616" spans="3:3" ht="15.75" customHeight="1">
      <c r="C616" s="4"/>
    </row>
    <row r="617" spans="3:3" ht="15.75" customHeight="1">
      <c r="C617" s="4"/>
    </row>
    <row r="618" spans="3:3" ht="15.75" customHeight="1">
      <c r="C618" s="4"/>
    </row>
    <row r="619" spans="3:3" ht="15.75" customHeight="1">
      <c r="C619" s="4"/>
    </row>
    <row r="620" spans="3:3" ht="15.75" customHeight="1">
      <c r="C620" s="4"/>
    </row>
    <row r="621" spans="3:3" ht="15.75" customHeight="1">
      <c r="C621" s="4"/>
    </row>
    <row r="622" spans="3:3" ht="15.75" customHeight="1">
      <c r="C622" s="4"/>
    </row>
    <row r="623" spans="3:3" ht="15.75" customHeight="1">
      <c r="C623" s="4"/>
    </row>
    <row r="624" spans="3:3" ht="15.75" customHeight="1">
      <c r="C624" s="4"/>
    </row>
    <row r="625" spans="3:3" ht="15.75" customHeight="1">
      <c r="C625" s="4"/>
    </row>
    <row r="626" spans="3:3" ht="15.75" customHeight="1">
      <c r="C626" s="4"/>
    </row>
    <row r="627" spans="3:3" ht="15.75" customHeight="1">
      <c r="C627" s="4"/>
    </row>
    <row r="628" spans="3:3" ht="15.75" customHeight="1">
      <c r="C628" s="4"/>
    </row>
    <row r="629" spans="3:3" ht="15.75" customHeight="1">
      <c r="C629" s="4"/>
    </row>
    <row r="630" spans="3:3" ht="15.75" customHeight="1">
      <c r="C630" s="4"/>
    </row>
    <row r="631" spans="3:3" ht="15.75" customHeight="1">
      <c r="C631" s="4"/>
    </row>
    <row r="632" spans="3:3" ht="15.75" customHeight="1">
      <c r="C632" s="4"/>
    </row>
    <row r="633" spans="3:3" ht="15.75" customHeight="1">
      <c r="C633" s="4"/>
    </row>
    <row r="634" spans="3:3" ht="15.75" customHeight="1">
      <c r="C634" s="4"/>
    </row>
    <row r="635" spans="3:3" ht="15.75" customHeight="1">
      <c r="C635" s="4"/>
    </row>
    <row r="636" spans="3:3" ht="15.75" customHeight="1">
      <c r="C636" s="4"/>
    </row>
    <row r="637" spans="3:3" ht="15.75" customHeight="1">
      <c r="C637" s="4"/>
    </row>
    <row r="638" spans="3:3" ht="15.75" customHeight="1">
      <c r="C638" s="4"/>
    </row>
    <row r="639" spans="3:3" ht="15.75" customHeight="1">
      <c r="C639" s="4"/>
    </row>
    <row r="640" spans="3:3" ht="15.75" customHeight="1">
      <c r="C640" s="4"/>
    </row>
    <row r="641" spans="3:3" ht="15.75" customHeight="1">
      <c r="C641" s="4"/>
    </row>
    <row r="642" spans="3:3" ht="15.75" customHeight="1">
      <c r="C642" s="4"/>
    </row>
    <row r="643" spans="3:3" ht="15.75" customHeight="1">
      <c r="C643" s="4"/>
    </row>
    <row r="644" spans="3:3" ht="15.75" customHeight="1">
      <c r="C644" s="4"/>
    </row>
    <row r="645" spans="3:3" ht="15.75" customHeight="1">
      <c r="C645" s="4"/>
    </row>
    <row r="646" spans="3:3" ht="15.75" customHeight="1">
      <c r="C646" s="4"/>
    </row>
    <row r="647" spans="3:3" ht="15.75" customHeight="1">
      <c r="C647" s="4"/>
    </row>
    <row r="648" spans="3:3" ht="15.75" customHeight="1">
      <c r="C648" s="4"/>
    </row>
    <row r="649" spans="3:3" ht="15.75" customHeight="1">
      <c r="C649" s="4"/>
    </row>
    <row r="650" spans="3:3" ht="15.75" customHeight="1">
      <c r="C650" s="4"/>
    </row>
    <row r="651" spans="3:3" ht="15.75" customHeight="1">
      <c r="C651" s="4"/>
    </row>
    <row r="652" spans="3:3" ht="15.75" customHeight="1">
      <c r="C652" s="4"/>
    </row>
    <row r="653" spans="3:3" ht="15.75" customHeight="1">
      <c r="C653" s="4"/>
    </row>
    <row r="654" spans="3:3" ht="15.75" customHeight="1">
      <c r="C654" s="4"/>
    </row>
    <row r="655" spans="3:3" ht="15.75" customHeight="1">
      <c r="C655" s="4"/>
    </row>
    <row r="656" spans="3:3" ht="15.75" customHeight="1">
      <c r="C656" s="4"/>
    </row>
    <row r="657" spans="3:3" ht="15.75" customHeight="1">
      <c r="C657" s="4"/>
    </row>
    <row r="658" spans="3:3" ht="15.75" customHeight="1">
      <c r="C658" s="4"/>
    </row>
    <row r="659" spans="3:3" ht="15.75" customHeight="1">
      <c r="C659" s="4"/>
    </row>
    <row r="660" spans="3:3" ht="15.75" customHeight="1">
      <c r="C660" s="4"/>
    </row>
    <row r="661" spans="3:3" ht="15.75" customHeight="1">
      <c r="C661" s="4"/>
    </row>
    <row r="662" spans="3:3" ht="15.75" customHeight="1">
      <c r="C662" s="4"/>
    </row>
    <row r="663" spans="3:3" ht="15.75" customHeight="1">
      <c r="C663" s="4"/>
    </row>
    <row r="664" spans="3:3" ht="15.75" customHeight="1">
      <c r="C664" s="4"/>
    </row>
    <row r="665" spans="3:3" ht="15.75" customHeight="1">
      <c r="C665" s="4"/>
    </row>
    <row r="666" spans="3:3" ht="15.75" customHeight="1">
      <c r="C666" s="4"/>
    </row>
    <row r="667" spans="3:3" ht="15.75" customHeight="1">
      <c r="C667" s="4"/>
    </row>
    <row r="668" spans="3:3" ht="15.75" customHeight="1">
      <c r="C668" s="4"/>
    </row>
    <row r="669" spans="3:3" ht="15.75" customHeight="1">
      <c r="C669" s="4"/>
    </row>
    <row r="670" spans="3:3" ht="15.75" customHeight="1">
      <c r="C670" s="4"/>
    </row>
    <row r="671" spans="3:3" ht="15.75" customHeight="1">
      <c r="C671" s="4"/>
    </row>
    <row r="672" spans="3:3" ht="15.75" customHeight="1">
      <c r="C672" s="4"/>
    </row>
    <row r="673" spans="3:3" ht="15.75" customHeight="1">
      <c r="C673" s="4"/>
    </row>
    <row r="674" spans="3:3" ht="15.75" customHeight="1">
      <c r="C674" s="4"/>
    </row>
    <row r="675" spans="3:3" ht="15.75" customHeight="1">
      <c r="C675" s="4"/>
    </row>
    <row r="676" spans="3:3" ht="15.75" customHeight="1">
      <c r="C676" s="4"/>
    </row>
    <row r="677" spans="3:3" ht="15.75" customHeight="1">
      <c r="C677" s="4"/>
    </row>
    <row r="678" spans="3:3" ht="15.75" customHeight="1">
      <c r="C678" s="4"/>
    </row>
    <row r="679" spans="3:3" ht="15.75" customHeight="1">
      <c r="C679" s="4"/>
    </row>
    <row r="680" spans="3:3" ht="15.75" customHeight="1">
      <c r="C680" s="4"/>
    </row>
    <row r="681" spans="3:3" ht="15.75" customHeight="1">
      <c r="C681" s="4"/>
    </row>
    <row r="682" spans="3:3" ht="15.75" customHeight="1">
      <c r="C682" s="4"/>
    </row>
    <row r="683" spans="3:3" ht="15.75" customHeight="1">
      <c r="C683" s="4"/>
    </row>
    <row r="684" spans="3:3" ht="15.75" customHeight="1">
      <c r="C684" s="4"/>
    </row>
    <row r="685" spans="3:3" ht="15.75" customHeight="1">
      <c r="C685" s="4"/>
    </row>
    <row r="686" spans="3:3" ht="15.75" customHeight="1">
      <c r="C686" s="4"/>
    </row>
    <row r="687" spans="3:3" ht="15.75" customHeight="1">
      <c r="C687" s="4"/>
    </row>
    <row r="688" spans="3:3" ht="15.75" customHeight="1">
      <c r="C688" s="4"/>
    </row>
    <row r="689" spans="3:3" ht="15.75" customHeight="1">
      <c r="C689" s="4"/>
    </row>
    <row r="690" spans="3:3" ht="15.75" customHeight="1">
      <c r="C690" s="4"/>
    </row>
    <row r="691" spans="3:3" ht="15.75" customHeight="1">
      <c r="C691" s="4"/>
    </row>
    <row r="692" spans="3:3" ht="15.75" customHeight="1">
      <c r="C692" s="4"/>
    </row>
    <row r="693" spans="3:3" ht="15.75" customHeight="1">
      <c r="C693" s="4"/>
    </row>
    <row r="694" spans="3:3" ht="15.75" customHeight="1">
      <c r="C694" s="4"/>
    </row>
    <row r="695" spans="3:3" ht="15.75" customHeight="1">
      <c r="C695" s="4"/>
    </row>
    <row r="696" spans="3:3" ht="15.75" customHeight="1">
      <c r="C696" s="4"/>
    </row>
    <row r="697" spans="3:3" ht="15.75" customHeight="1">
      <c r="C697" s="4"/>
    </row>
    <row r="698" spans="3:3" ht="15.75" customHeight="1">
      <c r="C698" s="4"/>
    </row>
    <row r="699" spans="3:3" ht="15.75" customHeight="1">
      <c r="C699" s="4"/>
    </row>
    <row r="700" spans="3:3" ht="15.75" customHeight="1">
      <c r="C700" s="4"/>
    </row>
    <row r="701" spans="3:3" ht="15.75" customHeight="1">
      <c r="C701" s="4"/>
    </row>
    <row r="702" spans="3:3" ht="15.75" customHeight="1">
      <c r="C702" s="4"/>
    </row>
    <row r="703" spans="3:3" ht="15.75" customHeight="1">
      <c r="C703" s="4"/>
    </row>
    <row r="704" spans="3:3" ht="15.75" customHeight="1">
      <c r="C704" s="4"/>
    </row>
    <row r="705" spans="3:3" ht="15.75" customHeight="1">
      <c r="C705" s="4"/>
    </row>
    <row r="706" spans="3:3" ht="15.75" customHeight="1">
      <c r="C706" s="4"/>
    </row>
    <row r="707" spans="3:3" ht="15.75" customHeight="1">
      <c r="C707" s="4"/>
    </row>
    <row r="708" spans="3:3" ht="15.75" customHeight="1">
      <c r="C708" s="4"/>
    </row>
    <row r="709" spans="3:3" ht="15.75" customHeight="1">
      <c r="C709" s="4"/>
    </row>
    <row r="710" spans="3:3" ht="15.75" customHeight="1">
      <c r="C710" s="4"/>
    </row>
    <row r="711" spans="3:3" ht="15.75" customHeight="1">
      <c r="C711" s="4"/>
    </row>
    <row r="712" spans="3:3" ht="15.75" customHeight="1">
      <c r="C712" s="4"/>
    </row>
    <row r="713" spans="3:3" ht="15.75" customHeight="1">
      <c r="C713" s="4"/>
    </row>
    <row r="714" spans="3:3" ht="15.75" customHeight="1">
      <c r="C714" s="4"/>
    </row>
    <row r="715" spans="3:3" ht="15.75" customHeight="1">
      <c r="C715" s="4"/>
    </row>
    <row r="716" spans="3:3" ht="15.75" customHeight="1">
      <c r="C716" s="4"/>
    </row>
    <row r="717" spans="3:3" ht="15.75" customHeight="1">
      <c r="C717" s="4"/>
    </row>
    <row r="718" spans="3:3" ht="15.75" customHeight="1">
      <c r="C718" s="4"/>
    </row>
    <row r="719" spans="3:3" ht="15.75" customHeight="1">
      <c r="C719" s="4"/>
    </row>
    <row r="720" spans="3:3" ht="15.75" customHeight="1">
      <c r="C720" s="4"/>
    </row>
    <row r="721" spans="3:3" ht="15.75" customHeight="1">
      <c r="C721" s="4"/>
    </row>
    <row r="722" spans="3:3" ht="15.75" customHeight="1">
      <c r="C722" s="4"/>
    </row>
    <row r="723" spans="3:3" ht="15.75" customHeight="1">
      <c r="C723" s="4"/>
    </row>
    <row r="724" spans="3:3" ht="15.75" customHeight="1">
      <c r="C724" s="4"/>
    </row>
    <row r="725" spans="3:3" ht="15.75" customHeight="1">
      <c r="C725" s="4"/>
    </row>
    <row r="726" spans="3:3" ht="15.75" customHeight="1">
      <c r="C726" s="4"/>
    </row>
    <row r="727" spans="3:3" ht="15.75" customHeight="1">
      <c r="C727" s="4"/>
    </row>
    <row r="728" spans="3:3" ht="15.75" customHeight="1">
      <c r="C728" s="4"/>
    </row>
    <row r="729" spans="3:3" ht="15.75" customHeight="1">
      <c r="C729" s="4"/>
    </row>
    <row r="730" spans="3:3" ht="15.75" customHeight="1">
      <c r="C730" s="4"/>
    </row>
    <row r="731" spans="3:3" ht="15.75" customHeight="1">
      <c r="C731" s="4"/>
    </row>
    <row r="732" spans="3:3" ht="15.75" customHeight="1">
      <c r="C732" s="4"/>
    </row>
    <row r="733" spans="3:3" ht="15.75" customHeight="1">
      <c r="C733" s="4"/>
    </row>
    <row r="734" spans="3:3" ht="15.75" customHeight="1">
      <c r="C734" s="4"/>
    </row>
    <row r="735" spans="3:3" ht="15.75" customHeight="1">
      <c r="C735" s="4"/>
    </row>
    <row r="736" spans="3:3" ht="15.75" customHeight="1">
      <c r="C736" s="4"/>
    </row>
    <row r="737" spans="3:3" ht="15.75" customHeight="1">
      <c r="C737" s="4"/>
    </row>
    <row r="738" spans="3:3" ht="15.75" customHeight="1">
      <c r="C738" s="4"/>
    </row>
    <row r="739" spans="3:3" ht="15.75" customHeight="1">
      <c r="C739" s="4"/>
    </row>
    <row r="740" spans="3:3" ht="15.75" customHeight="1">
      <c r="C740" s="4"/>
    </row>
    <row r="741" spans="3:3" ht="15.75" customHeight="1">
      <c r="C741" s="4"/>
    </row>
    <row r="742" spans="3:3" ht="15.75" customHeight="1">
      <c r="C742" s="4"/>
    </row>
    <row r="743" spans="3:3" ht="15.75" customHeight="1">
      <c r="C743" s="4"/>
    </row>
    <row r="744" spans="3:3" ht="15.75" customHeight="1">
      <c r="C744" s="4"/>
    </row>
    <row r="745" spans="3:3" ht="15.75" customHeight="1">
      <c r="C745" s="4"/>
    </row>
    <row r="746" spans="3:3" ht="15.75" customHeight="1">
      <c r="C746" s="4"/>
    </row>
    <row r="747" spans="3:3" ht="15.75" customHeight="1">
      <c r="C747" s="4"/>
    </row>
    <row r="748" spans="3:3" ht="15.75" customHeight="1">
      <c r="C748" s="4"/>
    </row>
    <row r="749" spans="3:3" ht="15.75" customHeight="1">
      <c r="C749" s="4"/>
    </row>
    <row r="750" spans="3:3" ht="15.75" customHeight="1">
      <c r="C750" s="4"/>
    </row>
    <row r="751" spans="3:3" ht="15.75" customHeight="1">
      <c r="C751" s="4"/>
    </row>
    <row r="752" spans="3:3" ht="15.75" customHeight="1">
      <c r="C752" s="4"/>
    </row>
    <row r="753" spans="3:3" ht="15.75" customHeight="1">
      <c r="C753" s="4"/>
    </row>
    <row r="754" spans="3:3" ht="15.75" customHeight="1">
      <c r="C754" s="4"/>
    </row>
    <row r="755" spans="3:3" ht="15.75" customHeight="1">
      <c r="C755" s="4"/>
    </row>
    <row r="756" spans="3:3" ht="15.75" customHeight="1">
      <c r="C756" s="4"/>
    </row>
    <row r="757" spans="3:3" ht="15.75" customHeight="1">
      <c r="C757" s="4"/>
    </row>
    <row r="758" spans="3:3" ht="15.75" customHeight="1">
      <c r="C758" s="4"/>
    </row>
    <row r="759" spans="3:3" ht="15.75" customHeight="1">
      <c r="C759" s="4"/>
    </row>
    <row r="760" spans="3:3" ht="15.75" customHeight="1">
      <c r="C760" s="4"/>
    </row>
    <row r="761" spans="3:3" ht="15.75" customHeight="1">
      <c r="C761" s="4"/>
    </row>
    <row r="762" spans="3:3" ht="15.75" customHeight="1">
      <c r="C762" s="4"/>
    </row>
    <row r="763" spans="3:3" ht="15.75" customHeight="1">
      <c r="C763" s="4"/>
    </row>
    <row r="764" spans="3:3" ht="15.75" customHeight="1">
      <c r="C764" s="4"/>
    </row>
    <row r="765" spans="3:3" ht="15.75" customHeight="1">
      <c r="C765" s="4"/>
    </row>
    <row r="766" spans="3:3" ht="15.75" customHeight="1">
      <c r="C766" s="4"/>
    </row>
    <row r="767" spans="3:3" ht="15.75" customHeight="1">
      <c r="C767" s="4"/>
    </row>
    <row r="768" spans="3:3" ht="15.75" customHeight="1">
      <c r="C768" s="4"/>
    </row>
    <row r="769" spans="3:3" ht="15.75" customHeight="1">
      <c r="C769" s="4"/>
    </row>
    <row r="770" spans="3:3" ht="15.75" customHeight="1">
      <c r="C770" s="4"/>
    </row>
    <row r="771" spans="3:3" ht="15.75" customHeight="1">
      <c r="C771" s="4"/>
    </row>
    <row r="772" spans="3:3" ht="15.75" customHeight="1">
      <c r="C772" s="4"/>
    </row>
    <row r="773" spans="3:3" ht="15.75" customHeight="1">
      <c r="C773" s="4"/>
    </row>
    <row r="774" spans="3:3" ht="15.75" customHeight="1">
      <c r="C774" s="4"/>
    </row>
    <row r="775" spans="3:3" ht="15.75" customHeight="1">
      <c r="C775" s="4"/>
    </row>
    <row r="776" spans="3:3" ht="15.75" customHeight="1">
      <c r="C776" s="4"/>
    </row>
    <row r="777" spans="3:3" ht="15.75" customHeight="1">
      <c r="C777" s="4"/>
    </row>
    <row r="778" spans="3:3" ht="15.75" customHeight="1">
      <c r="C778" s="4"/>
    </row>
    <row r="779" spans="3:3" ht="15.75" customHeight="1">
      <c r="C779" s="4"/>
    </row>
    <row r="780" spans="3:3" ht="15.75" customHeight="1">
      <c r="C780" s="4"/>
    </row>
    <row r="781" spans="3:3" ht="15.75" customHeight="1">
      <c r="C781" s="4"/>
    </row>
    <row r="782" spans="3:3" ht="15.75" customHeight="1">
      <c r="C782" s="4"/>
    </row>
    <row r="783" spans="3:3" ht="15.75" customHeight="1">
      <c r="C783" s="4"/>
    </row>
    <row r="784" spans="3:3" ht="15.75" customHeight="1">
      <c r="C784" s="4"/>
    </row>
    <row r="785" spans="3:3" ht="15.75" customHeight="1">
      <c r="C785" s="4"/>
    </row>
    <row r="786" spans="3:3" ht="15.75" customHeight="1">
      <c r="C786" s="4"/>
    </row>
    <row r="787" spans="3:3" ht="15.75" customHeight="1">
      <c r="C787" s="4"/>
    </row>
    <row r="788" spans="3:3" ht="15.75" customHeight="1">
      <c r="C788" s="4"/>
    </row>
    <row r="789" spans="3:3" ht="15.75" customHeight="1">
      <c r="C789" s="4"/>
    </row>
    <row r="790" spans="3:3" ht="15.75" customHeight="1">
      <c r="C790" s="4"/>
    </row>
    <row r="791" spans="3:3" ht="15.75" customHeight="1">
      <c r="C791" s="4"/>
    </row>
    <row r="792" spans="3:3" ht="15.75" customHeight="1">
      <c r="C792" s="4"/>
    </row>
    <row r="793" spans="3:3" ht="15.75" customHeight="1">
      <c r="C793" s="4"/>
    </row>
    <row r="794" spans="3:3" ht="15.75" customHeight="1">
      <c r="C794" s="4"/>
    </row>
    <row r="795" spans="3:3" ht="15.75" customHeight="1">
      <c r="C795" s="4"/>
    </row>
    <row r="796" spans="3:3" ht="15.75" customHeight="1">
      <c r="C796" s="4"/>
    </row>
    <row r="797" spans="3:3" ht="15.75" customHeight="1">
      <c r="C797" s="4"/>
    </row>
    <row r="798" spans="3:3" ht="15.75" customHeight="1">
      <c r="C798" s="4"/>
    </row>
    <row r="799" spans="3:3" ht="15.75" customHeight="1">
      <c r="C799" s="4"/>
    </row>
    <row r="800" spans="3:3" ht="15.75" customHeight="1">
      <c r="C800" s="4"/>
    </row>
    <row r="801" spans="3:3" ht="15.75" customHeight="1">
      <c r="C801" s="4"/>
    </row>
    <row r="802" spans="3:3" ht="15.75" customHeight="1">
      <c r="C802" s="4"/>
    </row>
    <row r="803" spans="3:3" ht="15.75" customHeight="1">
      <c r="C803" s="4"/>
    </row>
    <row r="804" spans="3:3" ht="15.75" customHeight="1">
      <c r="C804" s="4"/>
    </row>
    <row r="805" spans="3:3" ht="15.75" customHeight="1">
      <c r="C805" s="4"/>
    </row>
    <row r="806" spans="3:3" ht="15.75" customHeight="1">
      <c r="C806" s="4"/>
    </row>
    <row r="807" spans="3:3" ht="15.75" customHeight="1">
      <c r="C807" s="4"/>
    </row>
    <row r="808" spans="3:3" ht="15.75" customHeight="1">
      <c r="C808" s="4"/>
    </row>
    <row r="809" spans="3:3" ht="15.75" customHeight="1">
      <c r="C809" s="4"/>
    </row>
    <row r="810" spans="3:3" ht="15.75" customHeight="1">
      <c r="C810" s="4"/>
    </row>
    <row r="811" spans="3:3" ht="15.75" customHeight="1">
      <c r="C811" s="4"/>
    </row>
    <row r="812" spans="3:3" ht="15.75" customHeight="1">
      <c r="C812" s="4"/>
    </row>
    <row r="813" spans="3:3" ht="15.75" customHeight="1">
      <c r="C813" s="4"/>
    </row>
    <row r="814" spans="3:3" ht="15.75" customHeight="1">
      <c r="C814" s="4"/>
    </row>
    <row r="815" spans="3:3" ht="15.75" customHeight="1">
      <c r="C815" s="4"/>
    </row>
    <row r="816" spans="3:3" ht="15.75" customHeight="1">
      <c r="C816" s="4"/>
    </row>
    <row r="817" spans="3:3" ht="15.75" customHeight="1">
      <c r="C817" s="4"/>
    </row>
    <row r="818" spans="3:3" ht="15.75" customHeight="1">
      <c r="C818" s="4"/>
    </row>
    <row r="819" spans="3:3" ht="15.75" customHeight="1">
      <c r="C819" s="4"/>
    </row>
    <row r="820" spans="3:3" ht="15.75" customHeight="1">
      <c r="C820" s="4"/>
    </row>
    <row r="821" spans="3:3" ht="15.75" customHeight="1">
      <c r="C821" s="4"/>
    </row>
    <row r="822" spans="3:3" ht="15.75" customHeight="1">
      <c r="C822" s="4"/>
    </row>
    <row r="823" spans="3:3" ht="15.75" customHeight="1">
      <c r="C823" s="4"/>
    </row>
    <row r="824" spans="3:3" ht="15.75" customHeight="1">
      <c r="C824" s="4"/>
    </row>
    <row r="825" spans="3:3" ht="15.75" customHeight="1">
      <c r="C825" s="4"/>
    </row>
    <row r="826" spans="3:3" ht="15.75" customHeight="1">
      <c r="C826" s="4"/>
    </row>
    <row r="827" spans="3:3" ht="15.75" customHeight="1">
      <c r="C827" s="4"/>
    </row>
    <row r="828" spans="3:3" ht="15.75" customHeight="1">
      <c r="C828" s="4"/>
    </row>
    <row r="829" spans="3:3" ht="15.75" customHeight="1">
      <c r="C829" s="4"/>
    </row>
    <row r="830" spans="3:3" ht="15.75" customHeight="1">
      <c r="C830" s="4"/>
    </row>
    <row r="831" spans="3:3" ht="15.75" customHeight="1">
      <c r="C831" s="4"/>
    </row>
    <row r="832" spans="3:3" ht="15.75" customHeight="1">
      <c r="C832" s="4"/>
    </row>
    <row r="833" spans="3:3" ht="15.75" customHeight="1">
      <c r="C833" s="4"/>
    </row>
    <row r="834" spans="3:3" ht="15.75" customHeight="1">
      <c r="C834" s="4"/>
    </row>
    <row r="835" spans="3:3" ht="15.75" customHeight="1">
      <c r="C835" s="4"/>
    </row>
    <row r="836" spans="3:3" ht="15.75" customHeight="1">
      <c r="C836" s="4"/>
    </row>
    <row r="837" spans="3:3" ht="15.75" customHeight="1">
      <c r="C837" s="4"/>
    </row>
    <row r="838" spans="3:3" ht="15.75" customHeight="1">
      <c r="C838" s="4"/>
    </row>
    <row r="839" spans="3:3" ht="15.75" customHeight="1">
      <c r="C839" s="4"/>
    </row>
    <row r="840" spans="3:3" ht="15.75" customHeight="1">
      <c r="C840" s="4"/>
    </row>
    <row r="841" spans="3:3" ht="15.75" customHeight="1">
      <c r="C841" s="4"/>
    </row>
    <row r="842" spans="3:3" ht="15.75" customHeight="1">
      <c r="C842" s="4"/>
    </row>
    <row r="843" spans="3:3" ht="15.75" customHeight="1">
      <c r="C843" s="4"/>
    </row>
    <row r="844" spans="3:3" ht="15.75" customHeight="1">
      <c r="C844" s="4"/>
    </row>
    <row r="845" spans="3:3" ht="15.75" customHeight="1">
      <c r="C845" s="4"/>
    </row>
    <row r="846" spans="3:3" ht="15.75" customHeight="1">
      <c r="C846" s="4"/>
    </row>
    <row r="847" spans="3:3" ht="15.75" customHeight="1">
      <c r="C847" s="4"/>
    </row>
    <row r="848" spans="3:3" ht="15.75" customHeight="1">
      <c r="C848" s="4"/>
    </row>
    <row r="849" spans="3:3" ht="15.75" customHeight="1">
      <c r="C849" s="4"/>
    </row>
    <row r="850" spans="3:3" ht="15.75" customHeight="1">
      <c r="C850" s="4"/>
    </row>
    <row r="851" spans="3:3" ht="15.75" customHeight="1">
      <c r="C851" s="4"/>
    </row>
    <row r="852" spans="3:3" ht="15.75" customHeight="1">
      <c r="C852" s="4"/>
    </row>
    <row r="853" spans="3:3" ht="15.75" customHeight="1">
      <c r="C853" s="4"/>
    </row>
    <row r="854" spans="3:3" ht="15.75" customHeight="1">
      <c r="C854" s="4"/>
    </row>
    <row r="855" spans="3:3" ht="15.75" customHeight="1">
      <c r="C855" s="4"/>
    </row>
    <row r="856" spans="3:3" ht="15.75" customHeight="1">
      <c r="C856" s="4"/>
    </row>
    <row r="857" spans="3:3" ht="15.75" customHeight="1">
      <c r="C857" s="4"/>
    </row>
    <row r="858" spans="3:3" ht="15.75" customHeight="1">
      <c r="C858" s="4"/>
    </row>
    <row r="859" spans="3:3" ht="15.75" customHeight="1">
      <c r="C859" s="4"/>
    </row>
    <row r="860" spans="3:3" ht="15.75" customHeight="1">
      <c r="C860" s="4"/>
    </row>
    <row r="861" spans="3:3" ht="15.75" customHeight="1">
      <c r="C861" s="4"/>
    </row>
    <row r="862" spans="3:3" ht="15.75" customHeight="1">
      <c r="C862" s="4"/>
    </row>
    <row r="863" spans="3:3" ht="15.75" customHeight="1">
      <c r="C863" s="4"/>
    </row>
    <row r="864" spans="3:3" ht="15.75" customHeight="1">
      <c r="C864" s="4"/>
    </row>
    <row r="865" spans="3:3" ht="15.75" customHeight="1">
      <c r="C865" s="4"/>
    </row>
    <row r="866" spans="3:3" ht="15.75" customHeight="1">
      <c r="C866" s="4"/>
    </row>
    <row r="867" spans="3:3" ht="15.75" customHeight="1">
      <c r="C867" s="4"/>
    </row>
    <row r="868" spans="3:3" ht="15.75" customHeight="1">
      <c r="C868" s="4"/>
    </row>
    <row r="869" spans="3:3" ht="15.75" customHeight="1">
      <c r="C869" s="4"/>
    </row>
    <row r="870" spans="3:3" ht="15.75" customHeight="1">
      <c r="C870" s="4"/>
    </row>
    <row r="871" spans="3:3" ht="15.75" customHeight="1">
      <c r="C871" s="4"/>
    </row>
    <row r="872" spans="3:3" ht="15.75" customHeight="1">
      <c r="C872" s="4"/>
    </row>
    <row r="873" spans="3:3" ht="15.75" customHeight="1">
      <c r="C873" s="4"/>
    </row>
    <row r="874" spans="3:3" ht="15.75" customHeight="1">
      <c r="C874" s="4"/>
    </row>
    <row r="875" spans="3:3" ht="15.75" customHeight="1">
      <c r="C875" s="4"/>
    </row>
    <row r="876" spans="3:3" ht="15.75" customHeight="1">
      <c r="C876" s="4"/>
    </row>
    <row r="877" spans="3:3" ht="15.75" customHeight="1">
      <c r="C877" s="4"/>
    </row>
    <row r="878" spans="3:3" ht="15.75" customHeight="1">
      <c r="C878" s="4"/>
    </row>
    <row r="879" spans="3:3" ht="15.75" customHeight="1">
      <c r="C879" s="4"/>
    </row>
    <row r="880" spans="3:3" ht="15.75" customHeight="1">
      <c r="C880" s="4"/>
    </row>
    <row r="881" spans="3:3" ht="15.75" customHeight="1">
      <c r="C881" s="4"/>
    </row>
    <row r="882" spans="3:3" ht="15.75" customHeight="1">
      <c r="C882" s="4"/>
    </row>
    <row r="883" spans="3:3" ht="15.75" customHeight="1">
      <c r="C883" s="4"/>
    </row>
    <row r="884" spans="3:3" ht="15.75" customHeight="1">
      <c r="C884" s="4"/>
    </row>
    <row r="885" spans="3:3" ht="15.75" customHeight="1">
      <c r="C885" s="4"/>
    </row>
    <row r="886" spans="3:3" ht="15.75" customHeight="1">
      <c r="C886" s="4"/>
    </row>
    <row r="887" spans="3:3" ht="15.75" customHeight="1">
      <c r="C887" s="4"/>
    </row>
    <row r="888" spans="3:3" ht="15.75" customHeight="1">
      <c r="C888" s="4"/>
    </row>
    <row r="889" spans="3:3" ht="15.75" customHeight="1">
      <c r="C889" s="4"/>
    </row>
    <row r="890" spans="3:3" ht="15.75" customHeight="1">
      <c r="C890" s="4"/>
    </row>
    <row r="891" spans="3:3" ht="15.75" customHeight="1">
      <c r="C891" s="4"/>
    </row>
    <row r="892" spans="3:3" ht="15.75" customHeight="1">
      <c r="C892" s="4"/>
    </row>
    <row r="893" spans="3:3" ht="15.75" customHeight="1">
      <c r="C893" s="4"/>
    </row>
    <row r="894" spans="3:3" ht="15.75" customHeight="1">
      <c r="C894" s="4"/>
    </row>
    <row r="895" spans="3:3" ht="15.75" customHeight="1">
      <c r="C895" s="4"/>
    </row>
    <row r="896" spans="3:3" ht="15.75" customHeight="1">
      <c r="C896" s="4"/>
    </row>
    <row r="897" spans="3:3" ht="15.75" customHeight="1">
      <c r="C897" s="4"/>
    </row>
    <row r="898" spans="3:3" ht="15.75" customHeight="1">
      <c r="C898" s="4"/>
    </row>
    <row r="899" spans="3:3" ht="15.75" customHeight="1">
      <c r="C899" s="4"/>
    </row>
    <row r="900" spans="3:3" ht="15.75" customHeight="1">
      <c r="C900" s="4"/>
    </row>
    <row r="901" spans="3:3" ht="15.75" customHeight="1">
      <c r="C901" s="4"/>
    </row>
    <row r="902" spans="3:3" ht="15.75" customHeight="1">
      <c r="C902" s="4"/>
    </row>
    <row r="903" spans="3:3" ht="15.75" customHeight="1">
      <c r="C903" s="4"/>
    </row>
    <row r="904" spans="3:3" ht="15.75" customHeight="1">
      <c r="C904" s="4"/>
    </row>
    <row r="905" spans="3:3" ht="15.75" customHeight="1">
      <c r="C905" s="4"/>
    </row>
    <row r="906" spans="3:3" ht="15.75" customHeight="1">
      <c r="C906" s="4"/>
    </row>
    <row r="907" spans="3:3" ht="15.75" customHeight="1">
      <c r="C907" s="4"/>
    </row>
    <row r="908" spans="3:3" ht="15.75" customHeight="1">
      <c r="C908" s="4"/>
    </row>
    <row r="909" spans="3:3" ht="15.75" customHeight="1">
      <c r="C909" s="4"/>
    </row>
    <row r="910" spans="3:3" ht="15.75" customHeight="1">
      <c r="C910" s="4"/>
    </row>
    <row r="911" spans="3:3" ht="15.75" customHeight="1">
      <c r="C911" s="4"/>
    </row>
    <row r="912" spans="3:3" ht="15.75" customHeight="1">
      <c r="C912" s="4"/>
    </row>
    <row r="913" spans="3:3" ht="15.75" customHeight="1">
      <c r="C913" s="4"/>
    </row>
    <row r="914" spans="3:3" ht="15.75" customHeight="1">
      <c r="C914" s="4"/>
    </row>
    <row r="915" spans="3:3" ht="15.75" customHeight="1">
      <c r="C915" s="4"/>
    </row>
    <row r="916" spans="3:3" ht="15.75" customHeight="1">
      <c r="C916" s="4"/>
    </row>
    <row r="917" spans="3:3" ht="15.75" customHeight="1">
      <c r="C917" s="4"/>
    </row>
    <row r="918" spans="3:3" ht="15.75" customHeight="1">
      <c r="C918" s="4"/>
    </row>
    <row r="919" spans="3:3" ht="15.75" customHeight="1">
      <c r="C919" s="4"/>
    </row>
    <row r="920" spans="3:3" ht="15.75" customHeight="1">
      <c r="C920" s="4"/>
    </row>
    <row r="921" spans="3:3" ht="15.75" customHeight="1">
      <c r="C921" s="4"/>
    </row>
    <row r="922" spans="3:3" ht="15.75" customHeight="1">
      <c r="C922" s="4"/>
    </row>
    <row r="923" spans="3:3" ht="15.75" customHeight="1">
      <c r="C923" s="4"/>
    </row>
    <row r="924" spans="3:3" ht="15.75" customHeight="1">
      <c r="C924" s="4"/>
    </row>
    <row r="925" spans="3:3" ht="15.75" customHeight="1">
      <c r="C925" s="4"/>
    </row>
    <row r="926" spans="3:3" ht="15.75" customHeight="1">
      <c r="C926" s="4"/>
    </row>
    <row r="927" spans="3:3" ht="15.75" customHeight="1">
      <c r="C927" s="4"/>
    </row>
    <row r="928" spans="3:3" ht="15.75" customHeight="1">
      <c r="C928" s="4"/>
    </row>
    <row r="929" spans="3:3" ht="15.75" customHeight="1">
      <c r="C929" s="4"/>
    </row>
    <row r="930" spans="3:3" ht="15.75" customHeight="1">
      <c r="C930" s="4"/>
    </row>
    <row r="931" spans="3:3" ht="15.75" customHeight="1">
      <c r="C931" s="4"/>
    </row>
    <row r="932" spans="3:3" ht="15.75" customHeight="1">
      <c r="C932" s="4"/>
    </row>
    <row r="933" spans="3:3" ht="15.75" customHeight="1">
      <c r="C933" s="4"/>
    </row>
    <row r="934" spans="3:3" ht="15.75" customHeight="1">
      <c r="C934" s="4"/>
    </row>
    <row r="935" spans="3:3" ht="15.75" customHeight="1">
      <c r="C935" s="4"/>
    </row>
    <row r="936" spans="3:3" ht="15.75" customHeight="1">
      <c r="C936" s="4"/>
    </row>
    <row r="937" spans="3:3" ht="15.75" customHeight="1">
      <c r="C937" s="4"/>
    </row>
    <row r="938" spans="3:3" ht="15.75" customHeight="1">
      <c r="C938" s="4"/>
    </row>
    <row r="939" spans="3:3" ht="15.75" customHeight="1">
      <c r="C939" s="4"/>
    </row>
    <row r="940" spans="3:3" ht="15.75" customHeight="1">
      <c r="C940" s="4"/>
    </row>
    <row r="941" spans="3:3" ht="15.75" customHeight="1">
      <c r="C941" s="4"/>
    </row>
    <row r="942" spans="3:3" ht="15.75" customHeight="1">
      <c r="C942" s="4"/>
    </row>
    <row r="943" spans="3:3" ht="15.75" customHeight="1">
      <c r="C943" s="4"/>
    </row>
    <row r="944" spans="3:3" ht="15.75" customHeight="1">
      <c r="C944" s="4"/>
    </row>
    <row r="945" spans="3:3" ht="15.75" customHeight="1">
      <c r="C945" s="4"/>
    </row>
    <row r="946" spans="3:3" ht="15.75" customHeight="1">
      <c r="C946" s="4"/>
    </row>
    <row r="947" spans="3:3" ht="15.75" customHeight="1">
      <c r="C947" s="4"/>
    </row>
    <row r="948" spans="3:3" ht="15.75" customHeight="1">
      <c r="C948" s="4"/>
    </row>
    <row r="949" spans="3:3" ht="15.75" customHeight="1">
      <c r="C949" s="4"/>
    </row>
    <row r="950" spans="3:3" ht="15.75" customHeight="1">
      <c r="C950" s="4"/>
    </row>
    <row r="951" spans="3:3" ht="15.75" customHeight="1">
      <c r="C951" s="4"/>
    </row>
    <row r="952" spans="3:3" ht="15.75" customHeight="1">
      <c r="C952" s="4"/>
    </row>
    <row r="953" spans="3:3" ht="15.75" customHeight="1">
      <c r="C953" s="4"/>
    </row>
    <row r="954" spans="3:3" ht="15.75" customHeight="1">
      <c r="C954" s="4"/>
    </row>
    <row r="955" spans="3:3" ht="15.75" customHeight="1">
      <c r="C955" s="4"/>
    </row>
    <row r="956" spans="3:3" ht="15.75" customHeight="1">
      <c r="C956" s="4"/>
    </row>
    <row r="957" spans="3:3" ht="15.75" customHeight="1">
      <c r="C957" s="4"/>
    </row>
    <row r="958" spans="3:3" ht="15.75" customHeight="1">
      <c r="C958" s="4"/>
    </row>
    <row r="959" spans="3:3" ht="15.75" customHeight="1">
      <c r="C959" s="4"/>
    </row>
    <row r="960" spans="3:3" ht="15.75" customHeight="1">
      <c r="C960" s="4"/>
    </row>
    <row r="961" spans="3:3" ht="15.75" customHeight="1">
      <c r="C961" s="4"/>
    </row>
    <row r="962" spans="3:3" ht="15.75" customHeight="1">
      <c r="C962" s="4"/>
    </row>
    <row r="963" spans="3:3" ht="15.75" customHeight="1">
      <c r="C963" s="4"/>
    </row>
    <row r="964" spans="3:3" ht="15.75" customHeight="1">
      <c r="C964" s="4"/>
    </row>
    <row r="965" spans="3:3" ht="15.75" customHeight="1">
      <c r="C965" s="4"/>
    </row>
    <row r="966" spans="3:3" ht="15.75" customHeight="1">
      <c r="C966" s="4"/>
    </row>
    <row r="967" spans="3:3" ht="15.75" customHeight="1">
      <c r="C967" s="4"/>
    </row>
    <row r="968" spans="3:3" ht="15.75" customHeight="1">
      <c r="C968" s="4"/>
    </row>
    <row r="969" spans="3:3" ht="15.75" customHeight="1">
      <c r="C969" s="4"/>
    </row>
    <row r="970" spans="3:3" ht="15.75" customHeight="1">
      <c r="C970" s="4"/>
    </row>
    <row r="971" spans="3:3" ht="15.75" customHeight="1">
      <c r="C971" s="4"/>
    </row>
    <row r="972" spans="3:3" ht="15.75" customHeight="1">
      <c r="C972" s="4"/>
    </row>
    <row r="973" spans="3:3" ht="15.75" customHeight="1">
      <c r="C973" s="4"/>
    </row>
    <row r="974" spans="3:3" ht="15.75" customHeight="1">
      <c r="C974" s="4"/>
    </row>
    <row r="975" spans="3:3" ht="15.75" customHeight="1">
      <c r="C975" s="4"/>
    </row>
    <row r="976" spans="3:3" ht="15.75" customHeight="1">
      <c r="C976" s="4"/>
    </row>
    <row r="977" spans="3:3" ht="15.75" customHeight="1">
      <c r="C977" s="4"/>
    </row>
    <row r="978" spans="3:3" ht="15.75" customHeight="1">
      <c r="C978" s="4"/>
    </row>
    <row r="979" spans="3:3" ht="15.75" customHeight="1">
      <c r="C979" s="4"/>
    </row>
    <row r="980" spans="3:3" ht="15.75" customHeight="1">
      <c r="C980" s="4"/>
    </row>
    <row r="981" spans="3:3" ht="15.75" customHeight="1">
      <c r="C981" s="4"/>
    </row>
    <row r="982" spans="3:3" ht="15.75" customHeight="1">
      <c r="C982" s="4"/>
    </row>
    <row r="983" spans="3:3" ht="15.75" customHeight="1">
      <c r="C983" s="4"/>
    </row>
    <row r="984" spans="3:3" ht="15.75" customHeight="1">
      <c r="C984" s="4"/>
    </row>
    <row r="985" spans="3:3" ht="15.75" customHeight="1">
      <c r="C985" s="4"/>
    </row>
    <row r="986" spans="3:3" ht="15.75" customHeight="1">
      <c r="C986" s="4"/>
    </row>
    <row r="987" spans="3:3" ht="15.75" customHeight="1">
      <c r="C987" s="4"/>
    </row>
    <row r="988" spans="3:3" ht="15.75" customHeight="1">
      <c r="C988" s="4"/>
    </row>
    <row r="989" spans="3:3" ht="15.75" customHeight="1">
      <c r="C989" s="4"/>
    </row>
    <row r="990" spans="3:3" ht="15.75" customHeight="1">
      <c r="C990" s="4"/>
    </row>
    <row r="991" spans="3:3" ht="15.75" customHeight="1">
      <c r="C991" s="4"/>
    </row>
    <row r="992" spans="3:3" ht="15.75" customHeight="1">
      <c r="C992" s="4"/>
    </row>
    <row r="993" spans="3:3" ht="15.75" customHeight="1">
      <c r="C993" s="4"/>
    </row>
    <row r="994" spans="3:3" ht="15.75" customHeight="1">
      <c r="C994" s="4"/>
    </row>
    <row r="995" spans="3:3" ht="15.75" customHeight="1">
      <c r="C995" s="4"/>
    </row>
    <row r="996" spans="3:3" ht="15.75" customHeight="1">
      <c r="C996" s="4"/>
    </row>
    <row r="997" spans="3:3" ht="15.75" customHeight="1">
      <c r="C997" s="4"/>
    </row>
    <row r="998" spans="3:3" ht="15.75" customHeight="1">
      <c r="C998" s="4"/>
    </row>
    <row r="999" spans="3:3" ht="15.75" customHeight="1">
      <c r="C999" s="4"/>
    </row>
    <row r="1000" spans="3:3" ht="15.75" customHeight="1">
      <c r="C1000" s="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Z16"/>
  <sheetViews>
    <sheetView workbookViewId="0"/>
  </sheetViews>
  <sheetFormatPr defaultColWidth="12.6640625" defaultRowHeight="15" customHeight="1"/>
  <sheetData>
    <row r="1" spans="1:52">
      <c r="A1" s="5" t="s">
        <v>0</v>
      </c>
      <c r="B1" s="5" t="s">
        <v>1</v>
      </c>
      <c r="C1" s="2" t="s">
        <v>52</v>
      </c>
      <c r="D1" s="2" t="s">
        <v>53</v>
      </c>
      <c r="E1" s="2" t="s">
        <v>54</v>
      </c>
      <c r="F1" s="2" t="s">
        <v>55</v>
      </c>
      <c r="G1" s="2" t="s">
        <v>56</v>
      </c>
      <c r="H1" s="2" t="s">
        <v>57</v>
      </c>
      <c r="I1" s="2" t="s">
        <v>58</v>
      </c>
      <c r="J1" s="2" t="s">
        <v>59</v>
      </c>
      <c r="K1" s="2" t="s">
        <v>60</v>
      </c>
      <c r="L1" s="2" t="s">
        <v>61</v>
      </c>
      <c r="M1" s="2" t="s">
        <v>62</v>
      </c>
      <c r="N1" s="2" t="s">
        <v>63</v>
      </c>
      <c r="O1" s="2" t="s">
        <v>64</v>
      </c>
      <c r="P1" s="2" t="s">
        <v>65</v>
      </c>
      <c r="Q1" s="2" t="s">
        <v>66</v>
      </c>
      <c r="R1" s="2" t="s">
        <v>67</v>
      </c>
      <c r="S1" s="2" t="s">
        <v>68</v>
      </c>
      <c r="T1" s="2" t="s">
        <v>69</v>
      </c>
      <c r="U1" s="2" t="s">
        <v>70</v>
      </c>
      <c r="V1" s="2" t="s">
        <v>71</v>
      </c>
      <c r="W1" s="2" t="s">
        <v>72</v>
      </c>
      <c r="X1" s="2" t="s">
        <v>73</v>
      </c>
      <c r="Y1" s="2" t="s">
        <v>74</v>
      </c>
      <c r="Z1" s="2" t="s">
        <v>75</v>
      </c>
      <c r="AA1" s="2" t="s">
        <v>76</v>
      </c>
      <c r="AB1" s="2" t="s">
        <v>77</v>
      </c>
      <c r="AC1" s="2" t="s">
        <v>78</v>
      </c>
      <c r="AD1" s="2" t="s">
        <v>79</v>
      </c>
      <c r="AE1" s="2" t="s">
        <v>80</v>
      </c>
      <c r="AF1" s="2" t="s">
        <v>81</v>
      </c>
      <c r="AG1" s="2" t="s">
        <v>82</v>
      </c>
      <c r="AH1" s="2" t="s">
        <v>83</v>
      </c>
      <c r="AI1" s="2" t="s">
        <v>84</v>
      </c>
      <c r="AJ1" s="2" t="s">
        <v>85</v>
      </c>
      <c r="AK1" s="2" t="s">
        <v>86</v>
      </c>
      <c r="AL1" s="2" t="s">
        <v>87</v>
      </c>
      <c r="AM1" s="2" t="s">
        <v>88</v>
      </c>
      <c r="AN1" s="2" t="s">
        <v>89</v>
      </c>
      <c r="AO1" s="2" t="s">
        <v>90</v>
      </c>
      <c r="AP1" s="2" t="s">
        <v>91</v>
      </c>
      <c r="AQ1" s="2" t="s">
        <v>92</v>
      </c>
      <c r="AR1" s="2" t="s">
        <v>93</v>
      </c>
      <c r="AS1" s="2" t="s">
        <v>94</v>
      </c>
      <c r="AT1" s="2" t="s">
        <v>95</v>
      </c>
      <c r="AU1" s="2" t="s">
        <v>96</v>
      </c>
      <c r="AV1" s="2" t="s">
        <v>97</v>
      </c>
      <c r="AW1" s="2" t="s">
        <v>98</v>
      </c>
      <c r="AX1" s="2" t="s">
        <v>99</v>
      </c>
      <c r="AY1" s="2" t="s">
        <v>100</v>
      </c>
      <c r="AZ1" s="2" t="s">
        <v>101</v>
      </c>
    </row>
    <row r="2" spans="1:52">
      <c r="A2" s="3">
        <v>7</v>
      </c>
      <c r="B2" s="3">
        <v>26</v>
      </c>
      <c r="C2" s="4">
        <v>25.254983206598659</v>
      </c>
      <c r="D2" s="4">
        <v>27.545343842211281</v>
      </c>
      <c r="E2" s="4">
        <v>26.681230656805756</v>
      </c>
      <c r="F2" s="4">
        <v>25.995993769420117</v>
      </c>
      <c r="G2" s="4">
        <v>26.72003577252282</v>
      </c>
      <c r="H2" s="4">
        <v>26.738202272928351</v>
      </c>
      <c r="I2" s="4">
        <v>25.462728154593233</v>
      </c>
      <c r="J2" s="4">
        <v>27.505591256946634</v>
      </c>
      <c r="K2" s="4">
        <v>27.506324893901521</v>
      </c>
      <c r="L2" s="4">
        <v>25.113937541631135</v>
      </c>
      <c r="M2" s="4">
        <v>27.848840997182176</v>
      </c>
      <c r="N2" s="4">
        <v>27.418730129361219</v>
      </c>
      <c r="O2" s="4">
        <v>27.239194601254237</v>
      </c>
      <c r="P2" s="4">
        <v>26.04536109257015</v>
      </c>
      <c r="Q2" s="4">
        <v>27.87681760827607</v>
      </c>
      <c r="R2" s="4">
        <v>25.598096142471565</v>
      </c>
      <c r="S2" s="4">
        <v>25.876591248604257</v>
      </c>
      <c r="T2" s="4">
        <v>26.996354171031069</v>
      </c>
      <c r="U2" s="4">
        <v>25.528982645409513</v>
      </c>
      <c r="V2" s="4">
        <v>25.12295742308082</v>
      </c>
      <c r="W2" s="4">
        <v>25.093267425118366</v>
      </c>
      <c r="X2" s="4">
        <v>26.098897031087962</v>
      </c>
      <c r="Y2" s="4">
        <v>25.663480319663101</v>
      </c>
      <c r="Z2" s="4">
        <v>25.222791552597428</v>
      </c>
      <c r="AA2" s="4">
        <v>27.542244206120372</v>
      </c>
      <c r="AB2" s="4">
        <v>25.93059859175197</v>
      </c>
      <c r="AC2" s="4">
        <v>25.546885280478634</v>
      </c>
      <c r="AD2" s="4">
        <v>25.042272679135024</v>
      </c>
      <c r="AE2" s="4">
        <v>25.755250359775477</v>
      </c>
      <c r="AF2" s="4">
        <v>25.066945508920909</v>
      </c>
      <c r="AG2" s="4">
        <v>26.375399832745828</v>
      </c>
      <c r="AH2" s="4">
        <v>25.436837016423009</v>
      </c>
      <c r="AI2" s="4">
        <v>27.693857472194487</v>
      </c>
      <c r="AJ2" s="4">
        <v>25.232489008412003</v>
      </c>
      <c r="AK2" s="4">
        <v>25.421356599783874</v>
      </c>
      <c r="AL2" s="4">
        <v>25.248045806829534</v>
      </c>
      <c r="AM2" s="4">
        <v>26.213029495496151</v>
      </c>
      <c r="AN2" s="4">
        <v>27.125188663550155</v>
      </c>
      <c r="AO2" s="4">
        <v>27.69174478099087</v>
      </c>
      <c r="AP2" s="4">
        <v>26.757964501698272</v>
      </c>
      <c r="AQ2" s="4">
        <v>26.948805703928393</v>
      </c>
      <c r="AR2" s="4">
        <v>25.238131425341031</v>
      </c>
      <c r="AS2" s="4">
        <v>25.2354793785547</v>
      </c>
      <c r="AT2" s="4">
        <v>26.271776603001307</v>
      </c>
      <c r="AU2" s="4">
        <v>27.391835674345415</v>
      </c>
      <c r="AV2" s="4">
        <v>27.252845200460072</v>
      </c>
      <c r="AW2" s="4">
        <v>27.486131579251353</v>
      </c>
      <c r="AX2" s="4">
        <v>27.02785129948921</v>
      </c>
      <c r="AY2" s="4">
        <v>25.158485000469952</v>
      </c>
      <c r="AZ2" s="4">
        <v>25.828425143525664</v>
      </c>
    </row>
    <row r="3" spans="1:52">
      <c r="A3" s="3">
        <v>14</v>
      </c>
      <c r="B3" s="3">
        <v>40</v>
      </c>
      <c r="C3" s="4">
        <v>41.988522976045495</v>
      </c>
      <c r="D3" s="4">
        <v>41.456612018305876</v>
      </c>
      <c r="E3" s="4">
        <v>39.824159440062218</v>
      </c>
      <c r="F3" s="4">
        <v>41.101507967286508</v>
      </c>
      <c r="G3" s="4">
        <v>41.199495768963246</v>
      </c>
      <c r="H3" s="4">
        <v>40.11660575456601</v>
      </c>
      <c r="I3" s="4">
        <v>41.430079452508039</v>
      </c>
      <c r="J3" s="4">
        <v>40.55858116664043</v>
      </c>
      <c r="K3" s="4">
        <v>41.577126611904077</v>
      </c>
      <c r="L3" s="4">
        <v>40.253010840841192</v>
      </c>
      <c r="M3" s="4">
        <v>39.12676197228943</v>
      </c>
      <c r="N3" s="4">
        <v>39.248970847791853</v>
      </c>
      <c r="O3" s="4">
        <v>39.888333826220126</v>
      </c>
      <c r="P3" s="4">
        <v>41.606403511865821</v>
      </c>
      <c r="Q3" s="4">
        <v>41.430255260140072</v>
      </c>
      <c r="R3" s="4">
        <v>40.997301509231157</v>
      </c>
      <c r="S3" s="4">
        <v>40.970455158356273</v>
      </c>
      <c r="T3" s="4">
        <v>40.372265253434733</v>
      </c>
      <c r="U3" s="4">
        <v>41.830905676169579</v>
      </c>
      <c r="V3" s="4">
        <v>39.808247878307235</v>
      </c>
      <c r="W3" s="4">
        <v>41.351825540107882</v>
      </c>
      <c r="X3" s="4">
        <v>40.611309924419587</v>
      </c>
      <c r="Y3" s="4">
        <v>41.541041195314854</v>
      </c>
      <c r="Z3" s="4">
        <v>39.799963590326811</v>
      </c>
      <c r="AA3" s="4">
        <v>40.707621029405182</v>
      </c>
      <c r="AB3" s="4">
        <v>40.240193914780704</v>
      </c>
      <c r="AC3" s="4">
        <v>40.896280347205078</v>
      </c>
      <c r="AD3" s="4">
        <v>40.942502762675154</v>
      </c>
      <c r="AE3" s="4">
        <v>41.100187599143844</v>
      </c>
      <c r="AF3" s="4">
        <v>40.364328492313319</v>
      </c>
      <c r="AG3" s="4">
        <v>40.984685577648591</v>
      </c>
      <c r="AH3" s="4">
        <v>40.987952739391027</v>
      </c>
      <c r="AI3" s="4">
        <v>41.203073534714001</v>
      </c>
      <c r="AJ3" s="4">
        <v>40.964512928348022</v>
      </c>
      <c r="AK3" s="4">
        <v>39.327979436628183</v>
      </c>
      <c r="AL3" s="4">
        <v>41.228997268830767</v>
      </c>
      <c r="AM3" s="4">
        <v>39.957984204604713</v>
      </c>
      <c r="AN3" s="4">
        <v>39.199107070856613</v>
      </c>
      <c r="AO3" s="4">
        <v>41.68904255276</v>
      </c>
      <c r="AP3" s="4">
        <v>39.972628278095698</v>
      </c>
      <c r="AQ3" s="4">
        <v>41.363877927483259</v>
      </c>
      <c r="AR3" s="4">
        <v>39.8334624692733</v>
      </c>
      <c r="AS3" s="4">
        <v>39.32991205987306</v>
      </c>
      <c r="AT3" s="4">
        <v>41.865725693122307</v>
      </c>
      <c r="AU3" s="4">
        <v>40.347421737379257</v>
      </c>
      <c r="AV3" s="4">
        <v>41.558330220293499</v>
      </c>
      <c r="AW3" s="4">
        <v>41.294499398411588</v>
      </c>
      <c r="AX3" s="4">
        <v>41.459223430856483</v>
      </c>
      <c r="AY3" s="4">
        <v>40.914025703317549</v>
      </c>
      <c r="AZ3" s="4">
        <v>40.208964840125866</v>
      </c>
    </row>
    <row r="4" spans="1:52">
      <c r="A4" s="3">
        <v>21</v>
      </c>
      <c r="B4" s="3">
        <v>54</v>
      </c>
      <c r="C4" s="4">
        <v>54.683802560022343</v>
      </c>
      <c r="D4" s="4">
        <v>54.938678031041867</v>
      </c>
      <c r="E4" s="4">
        <v>54.079432165546876</v>
      </c>
      <c r="F4" s="4">
        <v>55.562665545517547</v>
      </c>
      <c r="G4" s="4">
        <v>54.862421381108966</v>
      </c>
      <c r="H4" s="4">
        <v>53.29278075751192</v>
      </c>
      <c r="I4" s="4">
        <v>55.883947043172235</v>
      </c>
      <c r="J4" s="4">
        <v>55.498379532468284</v>
      </c>
      <c r="K4" s="4">
        <v>54.004354662940351</v>
      </c>
      <c r="L4" s="4">
        <v>53.056406638331694</v>
      </c>
      <c r="M4" s="4">
        <v>54.385940528814388</v>
      </c>
      <c r="N4" s="4">
        <v>53.423297702915754</v>
      </c>
      <c r="O4" s="4">
        <v>53.168947480302947</v>
      </c>
      <c r="P4" s="4">
        <v>53.04241126377331</v>
      </c>
      <c r="Q4" s="4">
        <v>55.671003130398844</v>
      </c>
      <c r="R4" s="4">
        <v>54.366379783015127</v>
      </c>
      <c r="S4" s="4">
        <v>54.176986433279531</v>
      </c>
      <c r="T4" s="4">
        <v>53.622400403064248</v>
      </c>
      <c r="U4" s="4">
        <v>54.406816451756526</v>
      </c>
      <c r="V4" s="4">
        <v>54.890869787616865</v>
      </c>
      <c r="W4" s="4">
        <v>53.862915065220996</v>
      </c>
      <c r="X4" s="4">
        <v>54.103899764079102</v>
      </c>
      <c r="Y4" s="4">
        <v>55.467103263315174</v>
      </c>
      <c r="Z4" s="4">
        <v>54.200133686022475</v>
      </c>
      <c r="AA4" s="4">
        <v>55.198448161069244</v>
      </c>
      <c r="AB4" s="4">
        <v>55.895915559399143</v>
      </c>
      <c r="AC4" s="4">
        <v>55.839085901454389</v>
      </c>
      <c r="AD4" s="4">
        <v>55.350247766195693</v>
      </c>
      <c r="AE4" s="4">
        <v>55.424303719279401</v>
      </c>
      <c r="AF4" s="4">
        <v>54.412105112503369</v>
      </c>
      <c r="AG4" s="4">
        <v>54.576171434007378</v>
      </c>
      <c r="AH4" s="4">
        <v>54.143556217799976</v>
      </c>
      <c r="AI4" s="4">
        <v>55.576771379413834</v>
      </c>
      <c r="AJ4" s="4">
        <v>54.910776130632762</v>
      </c>
      <c r="AK4" s="4">
        <v>54.807582986792028</v>
      </c>
      <c r="AL4" s="4">
        <v>55.527416592268722</v>
      </c>
      <c r="AM4" s="4">
        <v>55.045836061403399</v>
      </c>
      <c r="AN4" s="4">
        <v>55.720933229891031</v>
      </c>
      <c r="AO4" s="4">
        <v>53.066655333378357</v>
      </c>
      <c r="AP4" s="4">
        <v>53.57235215946794</v>
      </c>
      <c r="AQ4" s="4">
        <v>53.051575352679059</v>
      </c>
      <c r="AR4" s="4">
        <v>53.553590614794821</v>
      </c>
      <c r="AS4" s="4">
        <v>55.44951401631505</v>
      </c>
      <c r="AT4" s="4">
        <v>53.353829647794548</v>
      </c>
      <c r="AU4" s="4">
        <v>53.175549794050163</v>
      </c>
      <c r="AV4" s="4">
        <v>55.847569549990965</v>
      </c>
      <c r="AW4" s="4">
        <v>54.36585627338539</v>
      </c>
      <c r="AX4" s="4">
        <v>53.311881171203098</v>
      </c>
      <c r="AY4" s="4">
        <v>54.333904518576176</v>
      </c>
      <c r="AZ4" s="4">
        <v>53.348999623211185</v>
      </c>
    </row>
    <row r="5" spans="1:52">
      <c r="A5" s="3">
        <v>28</v>
      </c>
      <c r="B5" s="3">
        <v>68</v>
      </c>
      <c r="C5" s="4">
        <v>67.770734957795639</v>
      </c>
      <c r="D5" s="4">
        <v>69.530186715217383</v>
      </c>
      <c r="E5" s="4">
        <v>69.072163709287764</v>
      </c>
      <c r="F5" s="4">
        <v>68.932331806140979</v>
      </c>
      <c r="G5" s="4">
        <v>67.91092233290432</v>
      </c>
      <c r="H5" s="4">
        <v>68.904715515540587</v>
      </c>
      <c r="I5" s="4">
        <v>69.40423901257229</v>
      </c>
      <c r="J5" s="4">
        <v>69.538950820047049</v>
      </c>
      <c r="K5" s="4">
        <v>68.756564270676577</v>
      </c>
      <c r="L5" s="4">
        <v>68.725560230861632</v>
      </c>
      <c r="M5" s="4">
        <v>67.450951988688942</v>
      </c>
      <c r="N5" s="4">
        <v>68.663028202582865</v>
      </c>
      <c r="O5" s="4">
        <v>69.469482745112003</v>
      </c>
      <c r="P5" s="4">
        <v>67.917303811378119</v>
      </c>
      <c r="Q5" s="4">
        <v>68.278172482467795</v>
      </c>
      <c r="R5" s="4">
        <v>67.507919541675818</v>
      </c>
      <c r="S5" s="4">
        <v>68.816692484503179</v>
      </c>
      <c r="T5" s="4">
        <v>67.673649769971391</v>
      </c>
      <c r="U5" s="4">
        <v>68.831859267309142</v>
      </c>
      <c r="V5" s="4">
        <v>68.24114024231389</v>
      </c>
      <c r="W5" s="4">
        <v>67.586236291837864</v>
      </c>
      <c r="X5" s="4">
        <v>67.884198030110468</v>
      </c>
      <c r="Y5" s="4">
        <v>67.259321348892598</v>
      </c>
      <c r="Z5" s="4">
        <v>67.019438537530064</v>
      </c>
      <c r="AA5" s="4">
        <v>67.238677239907432</v>
      </c>
      <c r="AB5" s="4">
        <v>67.635744879719994</v>
      </c>
      <c r="AC5" s="4">
        <v>68.97199555046123</v>
      </c>
      <c r="AD5" s="4">
        <v>67.000501867399024</v>
      </c>
      <c r="AE5" s="4">
        <v>68.118466242866134</v>
      </c>
      <c r="AF5" s="4">
        <v>69.924825421929071</v>
      </c>
      <c r="AG5" s="4">
        <v>68.398958898188823</v>
      </c>
      <c r="AH5" s="4">
        <v>69.103015301947238</v>
      </c>
      <c r="AI5" s="4">
        <v>69.799403867338455</v>
      </c>
      <c r="AJ5" s="4">
        <v>67.968217602796656</v>
      </c>
      <c r="AK5" s="4">
        <v>68.630394582183683</v>
      </c>
      <c r="AL5" s="4">
        <v>69.526790702504996</v>
      </c>
      <c r="AM5" s="4">
        <v>69.388415234996216</v>
      </c>
      <c r="AN5" s="4">
        <v>67.748126318689174</v>
      </c>
      <c r="AO5" s="4">
        <v>68.40023039161629</v>
      </c>
      <c r="AP5" s="4">
        <v>69.294685498567418</v>
      </c>
      <c r="AQ5" s="4">
        <v>68.861856559328132</v>
      </c>
      <c r="AR5" s="4">
        <v>69.678766467339173</v>
      </c>
      <c r="AS5" s="4">
        <v>68.107168019544858</v>
      </c>
      <c r="AT5" s="4">
        <v>67.328029767242086</v>
      </c>
      <c r="AU5" s="4">
        <v>67.758572190874858</v>
      </c>
      <c r="AV5" s="4">
        <v>68.531063661327352</v>
      </c>
      <c r="AW5" s="4">
        <v>69.823322635114948</v>
      </c>
      <c r="AX5" s="4">
        <v>68.817280291184929</v>
      </c>
      <c r="AY5" s="4">
        <v>67.803920929719254</v>
      </c>
      <c r="AZ5" s="4">
        <v>67.002191475467711</v>
      </c>
    </row>
    <row r="6" spans="1:52">
      <c r="A6" s="3">
        <v>35</v>
      </c>
      <c r="B6" s="3">
        <v>82</v>
      </c>
      <c r="C6" s="4">
        <v>82.079815311352903</v>
      </c>
      <c r="D6" s="4">
        <v>83.164651130092949</v>
      </c>
      <c r="E6" s="4">
        <v>83.424963272339937</v>
      </c>
      <c r="F6" s="4">
        <v>81.983534867277555</v>
      </c>
      <c r="G6" s="4">
        <v>82.774840706134285</v>
      </c>
      <c r="H6" s="4">
        <v>83.57870134074571</v>
      </c>
      <c r="I6" s="4">
        <v>82.73342403391743</v>
      </c>
      <c r="J6" s="4">
        <v>82.048510301349026</v>
      </c>
      <c r="K6" s="4">
        <v>82.295976099584777</v>
      </c>
      <c r="L6" s="4">
        <v>81.437914239036701</v>
      </c>
      <c r="M6" s="4">
        <v>82.372887155776738</v>
      </c>
      <c r="N6" s="4">
        <v>83.303702725288034</v>
      </c>
      <c r="O6" s="4">
        <v>81.864607089786148</v>
      </c>
      <c r="P6" s="4">
        <v>81.339306475172222</v>
      </c>
      <c r="Q6" s="4">
        <v>83.766764204709474</v>
      </c>
      <c r="R6" s="4">
        <v>81.505542005727293</v>
      </c>
      <c r="S6" s="4">
        <v>81.117574008522411</v>
      </c>
      <c r="T6" s="4">
        <v>81.868559891151335</v>
      </c>
      <c r="U6" s="4">
        <v>82.02639903808965</v>
      </c>
      <c r="V6" s="4">
        <v>83.694893403840197</v>
      </c>
      <c r="W6" s="4">
        <v>81.542828441915844</v>
      </c>
      <c r="X6" s="4">
        <v>81.295886117899499</v>
      </c>
      <c r="Y6" s="4">
        <v>81.739904356450026</v>
      </c>
      <c r="Z6" s="4">
        <v>83.649910697807215</v>
      </c>
      <c r="AA6" s="4">
        <v>83.093129277631007</v>
      </c>
      <c r="AB6" s="4">
        <v>83.96067314233629</v>
      </c>
      <c r="AC6" s="4">
        <v>81.038647036292218</v>
      </c>
      <c r="AD6" s="4">
        <v>82.033530555425415</v>
      </c>
      <c r="AE6" s="4">
        <v>83.489497189241291</v>
      </c>
      <c r="AF6" s="4">
        <v>82.669132092801902</v>
      </c>
      <c r="AG6" s="4">
        <v>81.078101274797717</v>
      </c>
      <c r="AH6" s="4">
        <v>82.184826705171218</v>
      </c>
      <c r="AI6" s="4">
        <v>82.976146054845913</v>
      </c>
      <c r="AJ6" s="4">
        <v>81.679163403962917</v>
      </c>
      <c r="AK6" s="4">
        <v>83.319788045389956</v>
      </c>
      <c r="AL6" s="4">
        <v>83.753442681269817</v>
      </c>
      <c r="AM6" s="4">
        <v>83.538610138576018</v>
      </c>
      <c r="AN6" s="4">
        <v>83.096660944898218</v>
      </c>
      <c r="AO6" s="4">
        <v>81.251019828759212</v>
      </c>
      <c r="AP6" s="4">
        <v>82.626322011456466</v>
      </c>
      <c r="AQ6" s="4">
        <v>81.84678601636503</v>
      </c>
      <c r="AR6" s="4">
        <v>82.757472966012003</v>
      </c>
      <c r="AS6" s="4">
        <v>81.429169185355818</v>
      </c>
      <c r="AT6" s="4">
        <v>81.845954496323088</v>
      </c>
      <c r="AU6" s="4">
        <v>82.434607590334366</v>
      </c>
      <c r="AV6" s="4">
        <v>83.919238321814504</v>
      </c>
      <c r="AW6" s="4">
        <v>83.987180037105858</v>
      </c>
      <c r="AX6" s="4">
        <v>82.469357352077921</v>
      </c>
      <c r="AY6" s="4">
        <v>82.878073270027286</v>
      </c>
      <c r="AZ6" s="4">
        <v>82.337317175394872</v>
      </c>
    </row>
    <row r="7" spans="1:52">
      <c r="A7" s="3">
        <v>42</v>
      </c>
      <c r="B7" s="3">
        <v>96</v>
      </c>
      <c r="C7" s="4">
        <v>95.907302074941541</v>
      </c>
      <c r="D7" s="4">
        <v>95.659119118177188</v>
      </c>
      <c r="E7" s="4">
        <v>96.762090473978915</v>
      </c>
      <c r="F7" s="4">
        <v>97.670766691849025</v>
      </c>
      <c r="G7" s="4">
        <v>95.032746282097875</v>
      </c>
      <c r="H7" s="4">
        <v>95.064200610871225</v>
      </c>
      <c r="I7" s="4">
        <v>95.379430974847565</v>
      </c>
      <c r="J7" s="4">
        <v>97.008690031151147</v>
      </c>
      <c r="K7" s="4">
        <v>97.014179346113195</v>
      </c>
      <c r="L7" s="4">
        <v>96.501419994700584</v>
      </c>
      <c r="M7" s="4">
        <v>95.426974295841575</v>
      </c>
      <c r="N7" s="4">
        <v>96.600522865242297</v>
      </c>
      <c r="O7" s="4">
        <v>96.76821374002698</v>
      </c>
      <c r="P7" s="4">
        <v>95.915499725446963</v>
      </c>
      <c r="Q7" s="4">
        <v>95.633754867085486</v>
      </c>
      <c r="R7" s="4">
        <v>96.920064735453593</v>
      </c>
      <c r="S7" s="4">
        <v>95.409853945829653</v>
      </c>
      <c r="T7" s="4">
        <v>97.235453235736728</v>
      </c>
      <c r="U7" s="4">
        <v>95.340202569125594</v>
      </c>
      <c r="V7" s="4">
        <v>95.708992193857085</v>
      </c>
      <c r="W7" s="4">
        <v>95.075894070806854</v>
      </c>
      <c r="X7" s="4">
        <v>95.883239429264961</v>
      </c>
      <c r="Y7" s="4">
        <v>97.661536672919055</v>
      </c>
      <c r="Z7" s="4">
        <v>96.315255709405719</v>
      </c>
      <c r="AA7" s="4">
        <v>96.69686279528274</v>
      </c>
      <c r="AB7" s="4">
        <v>97.163581875046077</v>
      </c>
      <c r="AC7" s="4">
        <v>95.793066561862645</v>
      </c>
      <c r="AD7" s="4">
        <v>95.512250684228334</v>
      </c>
      <c r="AE7" s="4">
        <v>96.416734613579706</v>
      </c>
      <c r="AF7" s="4">
        <v>96.04667123975706</v>
      </c>
      <c r="AG7" s="4">
        <v>96.781617990925511</v>
      </c>
      <c r="AH7" s="4">
        <v>95.935481090205641</v>
      </c>
      <c r="AI7" s="4">
        <v>95.609625692987905</v>
      </c>
      <c r="AJ7" s="4">
        <v>97.105469783086278</v>
      </c>
      <c r="AK7" s="4">
        <v>97.337303388355224</v>
      </c>
      <c r="AL7" s="4">
        <v>96.523434448295376</v>
      </c>
      <c r="AM7" s="4">
        <v>97.692693498826472</v>
      </c>
      <c r="AN7" s="4">
        <v>95.619336685122178</v>
      </c>
      <c r="AO7" s="4">
        <v>96.509855469111486</v>
      </c>
      <c r="AP7" s="4">
        <v>95.599387159921235</v>
      </c>
      <c r="AQ7" s="4">
        <v>96.184458756258806</v>
      </c>
      <c r="AR7" s="4">
        <v>97.105692814627957</v>
      </c>
      <c r="AS7" s="4">
        <v>96.303742240814003</v>
      </c>
      <c r="AT7" s="4">
        <v>96.48085856271662</v>
      </c>
      <c r="AU7" s="4">
        <v>97.70776851696445</v>
      </c>
      <c r="AV7" s="4">
        <v>96.791443968006533</v>
      </c>
      <c r="AW7" s="4">
        <v>97.556282708611306</v>
      </c>
      <c r="AX7" s="4">
        <v>95.753432786993102</v>
      </c>
      <c r="AY7" s="4">
        <v>96.886619132297795</v>
      </c>
      <c r="AZ7" s="4">
        <v>96.785881016438992</v>
      </c>
    </row>
    <row r="8" spans="1:52">
      <c r="A8" s="3">
        <v>49</v>
      </c>
      <c r="B8" s="3">
        <v>110</v>
      </c>
      <c r="C8" s="4">
        <v>109.74686746545981</v>
      </c>
      <c r="D8" s="4">
        <v>110.90870615435951</v>
      </c>
      <c r="E8" s="4">
        <v>109.9071969825247</v>
      </c>
      <c r="F8" s="4">
        <v>110.33584045083838</v>
      </c>
      <c r="G8" s="4">
        <v>111.10839741890717</v>
      </c>
      <c r="H8" s="4">
        <v>111.79534798734171</v>
      </c>
      <c r="I8" s="4">
        <v>109.95243553038424</v>
      </c>
      <c r="J8" s="4">
        <v>110.02414162767981</v>
      </c>
      <c r="K8" s="4">
        <v>111.38658634845537</v>
      </c>
      <c r="L8" s="4">
        <v>111.50147092076634</v>
      </c>
      <c r="M8" s="4">
        <v>110.31828804599238</v>
      </c>
      <c r="N8" s="4">
        <v>109.7409987042234</v>
      </c>
      <c r="O8" s="4">
        <v>109.59447312358486</v>
      </c>
      <c r="P8" s="4">
        <v>111.43384998413289</v>
      </c>
      <c r="Q8" s="4">
        <v>109.25708823549827</v>
      </c>
      <c r="R8" s="4">
        <v>109.64975577396751</v>
      </c>
      <c r="S8" s="4">
        <v>110.72577357760117</v>
      </c>
      <c r="T8" s="4">
        <v>111.96454748603841</v>
      </c>
      <c r="U8" s="4">
        <v>109.39167966758642</v>
      </c>
      <c r="V8" s="4">
        <v>110.63714044941472</v>
      </c>
      <c r="W8" s="4">
        <v>109.03315789816531</v>
      </c>
      <c r="X8" s="4">
        <v>111.80777749374981</v>
      </c>
      <c r="Y8" s="4">
        <v>111.48456853092992</v>
      </c>
      <c r="Z8" s="4">
        <v>110.13168707692974</v>
      </c>
      <c r="AA8" s="4">
        <v>110.10370817663879</v>
      </c>
      <c r="AB8" s="4">
        <v>110.29844250843499</v>
      </c>
      <c r="AC8" s="4">
        <v>109.79136577339084</v>
      </c>
      <c r="AD8" s="4">
        <v>111.51719184376597</v>
      </c>
      <c r="AE8" s="4">
        <v>111.61827498027215</v>
      </c>
      <c r="AF8" s="4">
        <v>110.27156150648644</v>
      </c>
      <c r="AG8" s="4">
        <v>111.51023760806854</v>
      </c>
      <c r="AH8" s="4">
        <v>109.46541817469708</v>
      </c>
      <c r="AI8" s="4">
        <v>110.9314514722642</v>
      </c>
      <c r="AJ8" s="4">
        <v>110.49180767173048</v>
      </c>
      <c r="AK8" s="4">
        <v>110.08908307699849</v>
      </c>
      <c r="AL8" s="4">
        <v>110.76227148996685</v>
      </c>
      <c r="AM8" s="4">
        <v>110.85888402567744</v>
      </c>
      <c r="AN8" s="4">
        <v>110.8323747281858</v>
      </c>
      <c r="AO8" s="4">
        <v>109.40215732232659</v>
      </c>
      <c r="AP8" s="4">
        <v>110.45166199766574</v>
      </c>
      <c r="AQ8" s="4">
        <v>109.30863796799541</v>
      </c>
      <c r="AR8" s="4">
        <v>110.65239075695769</v>
      </c>
      <c r="AS8" s="4">
        <v>111.05785959103744</v>
      </c>
      <c r="AT8" s="4">
        <v>110.37127409305818</v>
      </c>
      <c r="AU8" s="4">
        <v>111.6433373501534</v>
      </c>
      <c r="AV8" s="4">
        <v>109.07209804185341</v>
      </c>
      <c r="AW8" s="4">
        <v>110.34940434739022</v>
      </c>
      <c r="AX8" s="4">
        <v>109.40446129873925</v>
      </c>
      <c r="AY8" s="4">
        <v>111.90979727997097</v>
      </c>
      <c r="AZ8" s="4">
        <v>109.09501777515089</v>
      </c>
    </row>
    <row r="9" spans="1:52">
      <c r="A9" s="3">
        <v>56</v>
      </c>
      <c r="B9" s="3">
        <v>124</v>
      </c>
      <c r="C9" s="4">
        <v>123.16462441277272</v>
      </c>
      <c r="D9" s="4">
        <v>125.59182464232246</v>
      </c>
      <c r="E9" s="4">
        <v>125.77880568129117</v>
      </c>
      <c r="F9" s="4">
        <v>125.6501689921872</v>
      </c>
      <c r="G9" s="4">
        <v>125.00575362832333</v>
      </c>
      <c r="H9" s="4">
        <v>125.52014230707167</v>
      </c>
      <c r="I9" s="4">
        <v>125.76268058294541</v>
      </c>
      <c r="J9" s="4">
        <v>125.53342196890426</v>
      </c>
      <c r="K9" s="4">
        <v>123.16541117401242</v>
      </c>
      <c r="L9" s="4">
        <v>124.60993578748936</v>
      </c>
      <c r="M9" s="4">
        <v>123.50994536836248</v>
      </c>
      <c r="N9" s="4">
        <v>125.66076456952918</v>
      </c>
      <c r="O9" s="4">
        <v>124.2613966119571</v>
      </c>
      <c r="P9" s="4">
        <v>124.85088243882835</v>
      </c>
      <c r="Q9" s="4">
        <v>125.40098183574094</v>
      </c>
      <c r="R9" s="4">
        <v>124.46938465383806</v>
      </c>
      <c r="S9" s="4">
        <v>125.79912433242697</v>
      </c>
      <c r="T9" s="4">
        <v>124.14411124606028</v>
      </c>
      <c r="U9" s="4">
        <v>125.19386214294244</v>
      </c>
      <c r="V9" s="4">
        <v>123.22058187843778</v>
      </c>
      <c r="W9" s="4">
        <v>124.85863809715465</v>
      </c>
      <c r="X9" s="4">
        <v>124.30191584713377</v>
      </c>
      <c r="Y9" s="4">
        <v>124.1421801419104</v>
      </c>
      <c r="Z9" s="4">
        <v>124.21691836633997</v>
      </c>
      <c r="AA9" s="4">
        <v>124.75556362498882</v>
      </c>
      <c r="AB9" s="4">
        <v>123.04777255322976</v>
      </c>
      <c r="AC9" s="4">
        <v>125.96767981771046</v>
      </c>
      <c r="AD9" s="4">
        <v>125.30678391683961</v>
      </c>
      <c r="AE9" s="4">
        <v>123.75021786692041</v>
      </c>
      <c r="AF9" s="4">
        <v>123.90338242375822</v>
      </c>
      <c r="AG9" s="4">
        <v>125.38690013673713</v>
      </c>
      <c r="AH9" s="4">
        <v>124.18809457688653</v>
      </c>
      <c r="AI9" s="4">
        <v>123.12909382985407</v>
      </c>
      <c r="AJ9" s="4">
        <v>123.09945607013498</v>
      </c>
      <c r="AK9" s="4">
        <v>125.14105450967057</v>
      </c>
      <c r="AL9" s="4">
        <v>125.27284326475241</v>
      </c>
      <c r="AM9" s="4">
        <v>123.23293963340879</v>
      </c>
      <c r="AN9" s="4">
        <v>125.8969596574869</v>
      </c>
      <c r="AO9" s="4">
        <v>123.7283640470678</v>
      </c>
      <c r="AP9" s="4">
        <v>123.12422105111447</v>
      </c>
      <c r="AQ9" s="4">
        <v>124.25565048775607</v>
      </c>
      <c r="AR9" s="4">
        <v>125.95554133711786</v>
      </c>
      <c r="AS9" s="4">
        <v>125.28806305904136</v>
      </c>
      <c r="AT9" s="4">
        <v>125.72802822794291</v>
      </c>
      <c r="AU9" s="4">
        <v>124.88819241834047</v>
      </c>
      <c r="AV9" s="4">
        <v>124.63585645222363</v>
      </c>
      <c r="AW9" s="4">
        <v>125.3352957757442</v>
      </c>
      <c r="AX9" s="4">
        <v>125.11009346483941</v>
      </c>
      <c r="AY9" s="4">
        <v>123.13177665645941</v>
      </c>
      <c r="AZ9" s="4">
        <v>124.37251053362164</v>
      </c>
    </row>
    <row r="10" spans="1:52">
      <c r="A10" s="3">
        <v>63</v>
      </c>
      <c r="B10" s="3">
        <v>138</v>
      </c>
      <c r="C10" s="4">
        <v>139.74105020213</v>
      </c>
      <c r="D10" s="4">
        <v>139.96732533480716</v>
      </c>
      <c r="E10" s="4">
        <v>139.95809551709641</v>
      </c>
      <c r="F10" s="4">
        <v>138.23590907253589</v>
      </c>
      <c r="G10" s="4">
        <v>137.23437698030543</v>
      </c>
      <c r="H10" s="4">
        <v>138.84519274851172</v>
      </c>
      <c r="I10" s="4">
        <v>137.28309486689702</v>
      </c>
      <c r="J10" s="4">
        <v>138.29207054875087</v>
      </c>
      <c r="K10" s="4">
        <v>137.3399594114162</v>
      </c>
      <c r="L10" s="4">
        <v>137.69131011264861</v>
      </c>
      <c r="M10" s="4">
        <v>137.84913155174431</v>
      </c>
      <c r="N10" s="4">
        <v>137.47619379452976</v>
      </c>
      <c r="O10" s="4">
        <v>137.37878285935329</v>
      </c>
      <c r="P10" s="4">
        <v>139.71517725186686</v>
      </c>
      <c r="Q10" s="4">
        <v>139.20435427963156</v>
      </c>
      <c r="R10" s="4">
        <v>138.60618035198934</v>
      </c>
      <c r="S10" s="4">
        <v>139.14310124310938</v>
      </c>
      <c r="T10" s="4">
        <v>137.27750820674419</v>
      </c>
      <c r="U10" s="4">
        <v>137.46277096167421</v>
      </c>
      <c r="V10" s="4">
        <v>137.18553303252074</v>
      </c>
      <c r="W10" s="4">
        <v>137.02026484790107</v>
      </c>
      <c r="X10" s="4">
        <v>138.15415007408529</v>
      </c>
      <c r="Y10" s="4">
        <v>139.21289715109737</v>
      </c>
      <c r="Z10" s="4">
        <v>137.44965403806765</v>
      </c>
      <c r="AA10" s="4">
        <v>139.84536909219653</v>
      </c>
      <c r="AB10" s="4">
        <v>139.22706489538348</v>
      </c>
      <c r="AC10" s="4">
        <v>139.62983466013017</v>
      </c>
      <c r="AD10" s="4">
        <v>138.22006523010006</v>
      </c>
      <c r="AE10" s="4">
        <v>139.74444293400106</v>
      </c>
      <c r="AF10" s="4">
        <v>137.67659328517951</v>
      </c>
      <c r="AG10" s="4">
        <v>139.67749927844034</v>
      </c>
      <c r="AH10" s="4">
        <v>137.26576976142104</v>
      </c>
      <c r="AI10" s="4">
        <v>137.47989529055357</v>
      </c>
      <c r="AJ10" s="4">
        <v>139.99921840537064</v>
      </c>
      <c r="AK10" s="4">
        <v>138.53771587971767</v>
      </c>
      <c r="AL10" s="4">
        <v>139.12097335089595</v>
      </c>
      <c r="AM10" s="4">
        <v>137.05993875828327</v>
      </c>
      <c r="AN10" s="4">
        <v>139.42504949129344</v>
      </c>
      <c r="AO10" s="4">
        <v>137.65290027962416</v>
      </c>
      <c r="AP10" s="4">
        <v>138.55838430448284</v>
      </c>
      <c r="AQ10" s="4">
        <v>137.62370904443256</v>
      </c>
      <c r="AR10" s="4">
        <v>137.5592429768397</v>
      </c>
      <c r="AS10" s="4">
        <v>137.01904603486244</v>
      </c>
      <c r="AT10" s="4">
        <v>138.16731083832533</v>
      </c>
      <c r="AU10" s="4">
        <v>139.86379897251226</v>
      </c>
      <c r="AV10" s="4">
        <v>137.32158067029874</v>
      </c>
      <c r="AW10" s="4">
        <v>139.61573515169866</v>
      </c>
      <c r="AX10" s="4">
        <v>137.73577454651573</v>
      </c>
      <c r="AY10" s="4">
        <v>139.49792571886456</v>
      </c>
      <c r="AZ10" s="4">
        <v>139.50842324425167</v>
      </c>
    </row>
    <row r="11" spans="1:52">
      <c r="A11" s="3">
        <v>70</v>
      </c>
      <c r="B11" s="3">
        <v>152</v>
      </c>
      <c r="C11" s="4">
        <v>151.23149568854782</v>
      </c>
      <c r="D11" s="4">
        <v>151.25720102118976</v>
      </c>
      <c r="E11" s="4">
        <v>152.44264246576643</v>
      </c>
      <c r="F11" s="4">
        <v>151.68840414400643</v>
      </c>
      <c r="G11" s="4">
        <v>152.63408597490016</v>
      </c>
      <c r="H11" s="4">
        <v>151.585954733459</v>
      </c>
      <c r="I11" s="4">
        <v>152.73747618722172</v>
      </c>
      <c r="J11" s="4">
        <v>151.27247559276867</v>
      </c>
      <c r="K11" s="4">
        <v>151.80702550218865</v>
      </c>
      <c r="L11" s="4">
        <v>153.09084044141059</v>
      </c>
      <c r="M11" s="4">
        <v>151.26934702480781</v>
      </c>
      <c r="N11" s="4">
        <v>152.29295746813753</v>
      </c>
      <c r="O11" s="4">
        <v>152.16153339872784</v>
      </c>
      <c r="P11" s="4">
        <v>151.69259564702728</v>
      </c>
      <c r="Q11" s="4">
        <v>152.90639533967314</v>
      </c>
      <c r="R11" s="4">
        <v>152.10627150456736</v>
      </c>
      <c r="S11" s="4">
        <v>152.39741262914782</v>
      </c>
      <c r="T11" s="4">
        <v>153.00172080430457</v>
      </c>
      <c r="U11" s="4">
        <v>151.98333294108338</v>
      </c>
      <c r="V11" s="4">
        <v>152.26273894545884</v>
      </c>
      <c r="W11" s="4">
        <v>151.35348622933952</v>
      </c>
      <c r="X11" s="4">
        <v>153.56218018009639</v>
      </c>
      <c r="Y11" s="4">
        <v>151.32976620042436</v>
      </c>
      <c r="Z11" s="4">
        <v>152.51166453850556</v>
      </c>
      <c r="AA11" s="4">
        <v>153.16986204229812</v>
      </c>
      <c r="AB11" s="4">
        <v>152.52704876981934</v>
      </c>
      <c r="AC11" s="4">
        <v>152.17870726389285</v>
      </c>
      <c r="AD11" s="4">
        <v>153.21297568124078</v>
      </c>
      <c r="AE11" s="4">
        <v>152.21124500236314</v>
      </c>
      <c r="AF11" s="4">
        <v>153.02782354903655</v>
      </c>
      <c r="AG11" s="4">
        <v>152.0294918916957</v>
      </c>
      <c r="AH11" s="4">
        <v>151.04213572982454</v>
      </c>
      <c r="AI11" s="4">
        <v>153.45051540813296</v>
      </c>
      <c r="AJ11" s="4">
        <v>153.74911809072512</v>
      </c>
      <c r="AK11" s="4">
        <v>153.7893228427352</v>
      </c>
      <c r="AL11" s="4">
        <v>151.12504960866798</v>
      </c>
      <c r="AM11" s="4">
        <v>152.2617920452881</v>
      </c>
      <c r="AN11" s="4">
        <v>152.47045937314044</v>
      </c>
      <c r="AO11" s="4">
        <v>153.76765760827269</v>
      </c>
      <c r="AP11" s="4">
        <v>151.98968126292709</v>
      </c>
      <c r="AQ11" s="4">
        <v>152.82219897958024</v>
      </c>
      <c r="AR11" s="4">
        <v>152.58690510027682</v>
      </c>
      <c r="AS11" s="4">
        <v>152.3476588994578</v>
      </c>
      <c r="AT11" s="4">
        <v>151.97110087539599</v>
      </c>
      <c r="AU11" s="4">
        <v>153.5715547396604</v>
      </c>
      <c r="AV11" s="4">
        <v>151.87020082922371</v>
      </c>
      <c r="AW11" s="4">
        <v>153.40892701259054</v>
      </c>
      <c r="AX11" s="4">
        <v>151.95668136747929</v>
      </c>
      <c r="AY11" s="4">
        <v>151.42920255354133</v>
      </c>
      <c r="AZ11" s="4">
        <v>151.9821953381757</v>
      </c>
    </row>
    <row r="12" spans="1:52">
      <c r="A12" s="3">
        <v>77</v>
      </c>
      <c r="B12" s="3">
        <v>166</v>
      </c>
      <c r="C12" s="4">
        <v>167.03345039571883</v>
      </c>
      <c r="D12" s="4">
        <v>165.00561561891763</v>
      </c>
      <c r="E12" s="4">
        <v>166.72802080808458</v>
      </c>
      <c r="F12" s="4">
        <v>165.27413471508643</v>
      </c>
      <c r="G12" s="4">
        <v>165.14728318618077</v>
      </c>
      <c r="H12" s="4">
        <v>167.72586263184539</v>
      </c>
      <c r="I12" s="4">
        <v>165.52039842699918</v>
      </c>
      <c r="J12" s="4">
        <v>165.48232326803972</v>
      </c>
      <c r="K12" s="4">
        <v>167.01495226365958</v>
      </c>
      <c r="L12" s="4">
        <v>165.24742959379643</v>
      </c>
      <c r="M12" s="4">
        <v>166.68792123488967</v>
      </c>
      <c r="N12" s="4">
        <v>165.14041379781537</v>
      </c>
      <c r="O12" s="4">
        <v>165.98940833154117</v>
      </c>
      <c r="P12" s="4">
        <v>167.7897028092307</v>
      </c>
      <c r="Q12" s="4">
        <v>166.87734534138906</v>
      </c>
      <c r="R12" s="4">
        <v>165.19759629675102</v>
      </c>
      <c r="S12" s="4">
        <v>165.15311657160962</v>
      </c>
      <c r="T12" s="4">
        <v>167.35923713666901</v>
      </c>
      <c r="U12" s="4">
        <v>166.27356700499575</v>
      </c>
      <c r="V12" s="4">
        <v>167.68674722602304</v>
      </c>
      <c r="W12" s="4">
        <v>165.63411473146641</v>
      </c>
      <c r="X12" s="4">
        <v>165.95053408477119</v>
      </c>
      <c r="Y12" s="4">
        <v>167.15069663956911</v>
      </c>
      <c r="Z12" s="4">
        <v>167.7046569247747</v>
      </c>
      <c r="AA12" s="4">
        <v>166.89503274236063</v>
      </c>
      <c r="AB12" s="4">
        <v>167.01177325867062</v>
      </c>
      <c r="AC12" s="4">
        <v>166.55820364681094</v>
      </c>
      <c r="AD12" s="4">
        <v>167.72557007904916</v>
      </c>
      <c r="AE12" s="4">
        <v>166.63179244461043</v>
      </c>
      <c r="AF12" s="4">
        <v>166.62471656169186</v>
      </c>
      <c r="AG12" s="4">
        <v>165.40385080278872</v>
      </c>
      <c r="AH12" s="4">
        <v>167.32225794226139</v>
      </c>
      <c r="AI12" s="4">
        <v>165.16870637405276</v>
      </c>
      <c r="AJ12" s="4">
        <v>165.09800311589228</v>
      </c>
      <c r="AK12" s="4">
        <v>166.44513694518301</v>
      </c>
      <c r="AL12" s="4">
        <v>166.61884101756951</v>
      </c>
      <c r="AM12" s="4">
        <v>166.4866940004373</v>
      </c>
      <c r="AN12" s="4">
        <v>167.92305429910314</v>
      </c>
      <c r="AO12" s="4">
        <v>165.95096666696256</v>
      </c>
      <c r="AP12" s="4">
        <v>166.04958091623163</v>
      </c>
      <c r="AQ12" s="4">
        <v>167.27133455746537</v>
      </c>
      <c r="AR12" s="4">
        <v>167.29180736109996</v>
      </c>
      <c r="AS12" s="4">
        <v>167.04526587492828</v>
      </c>
      <c r="AT12" s="4">
        <v>167.24786037798037</v>
      </c>
      <c r="AU12" s="4">
        <v>165.6174750565564</v>
      </c>
      <c r="AV12" s="4">
        <v>167.62549624916821</v>
      </c>
      <c r="AW12" s="4">
        <v>166.99426189647841</v>
      </c>
      <c r="AX12" s="4">
        <v>165.13956986202643</v>
      </c>
      <c r="AY12" s="4">
        <v>167.27711210995218</v>
      </c>
      <c r="AZ12" s="4">
        <v>165.81369872409175</v>
      </c>
    </row>
    <row r="13" spans="1:52">
      <c r="A13" s="3">
        <v>84</v>
      </c>
      <c r="B13" s="3">
        <v>180</v>
      </c>
      <c r="C13" s="4">
        <v>179.19841112309103</v>
      </c>
      <c r="D13" s="4">
        <v>179.86357432252115</v>
      </c>
      <c r="E13" s="4">
        <v>180.17522768707431</v>
      </c>
      <c r="F13" s="4">
        <v>181.17245976026109</v>
      </c>
      <c r="G13" s="4">
        <v>181.40184976271519</v>
      </c>
      <c r="H13" s="4">
        <v>179.93689426576805</v>
      </c>
      <c r="I13" s="4">
        <v>181.67491716445377</v>
      </c>
      <c r="J13" s="4">
        <v>180.30213688529301</v>
      </c>
      <c r="K13" s="4">
        <v>181.15229947576535</v>
      </c>
      <c r="L13" s="4">
        <v>179.09196029231555</v>
      </c>
      <c r="M13" s="4">
        <v>179.76973877235272</v>
      </c>
      <c r="N13" s="4">
        <v>180.46319174517436</v>
      </c>
      <c r="O13" s="4">
        <v>181.16273095682556</v>
      </c>
      <c r="P13" s="4">
        <v>179.93651026793756</v>
      </c>
      <c r="Q13" s="4">
        <v>179.434557377131</v>
      </c>
      <c r="R13" s="4">
        <v>181.19763428693321</v>
      </c>
      <c r="S13" s="4">
        <v>180.24126165542773</v>
      </c>
      <c r="T13" s="4">
        <v>181.86479191525822</v>
      </c>
      <c r="U13" s="4">
        <v>181.3879989804592</v>
      </c>
      <c r="V13" s="4">
        <v>180.31387463678502</v>
      </c>
      <c r="W13" s="4">
        <v>181.44856827312</v>
      </c>
      <c r="X13" s="4">
        <v>179.64193146847353</v>
      </c>
      <c r="Y13" s="4">
        <v>179.8310704893338</v>
      </c>
      <c r="Z13" s="4">
        <v>179.93267019919261</v>
      </c>
      <c r="AA13" s="4">
        <v>181.21751856364639</v>
      </c>
      <c r="AB13" s="4">
        <v>181.16438878607312</v>
      </c>
      <c r="AC13" s="4">
        <v>180.40385823704963</v>
      </c>
      <c r="AD13" s="4">
        <v>179.37126845734764</v>
      </c>
      <c r="AE13" s="4">
        <v>181.25924101993772</v>
      </c>
      <c r="AF13" s="4">
        <v>180.03321775206354</v>
      </c>
      <c r="AG13" s="4">
        <v>181.80952366188004</v>
      </c>
      <c r="AH13" s="4">
        <v>181.12746448625143</v>
      </c>
      <c r="AI13" s="4">
        <v>181.32985143767198</v>
      </c>
      <c r="AJ13" s="4">
        <v>179.82685044229109</v>
      </c>
      <c r="AK13" s="4">
        <v>181.8048152095898</v>
      </c>
      <c r="AL13" s="4">
        <v>179.47529158235102</v>
      </c>
      <c r="AM13" s="4">
        <v>181.18205488694994</v>
      </c>
      <c r="AN13" s="4">
        <v>180.21012402792721</v>
      </c>
      <c r="AO13" s="4">
        <v>180.50631515710342</v>
      </c>
      <c r="AP13" s="4">
        <v>181.43406416246873</v>
      </c>
      <c r="AQ13" s="4">
        <v>180.27584186577727</v>
      </c>
      <c r="AR13" s="4">
        <v>180.26626912368224</v>
      </c>
      <c r="AS13" s="4">
        <v>180.21163995406744</v>
      </c>
      <c r="AT13" s="4">
        <v>179.12249123912335</v>
      </c>
      <c r="AU13" s="4">
        <v>180.07249759158233</v>
      </c>
      <c r="AV13" s="4">
        <v>179.68857835164468</v>
      </c>
      <c r="AW13" s="4">
        <v>180.18481287648711</v>
      </c>
      <c r="AX13" s="4">
        <v>179.75957958772887</v>
      </c>
      <c r="AY13" s="4">
        <v>179.98614295859142</v>
      </c>
      <c r="AZ13" s="4">
        <v>181.71847368675137</v>
      </c>
    </row>
    <row r="14" spans="1:52">
      <c r="A14" s="3">
        <v>91</v>
      </c>
      <c r="B14" s="3">
        <v>194</v>
      </c>
      <c r="C14" s="4">
        <v>194.9220821621517</v>
      </c>
      <c r="D14" s="4">
        <v>193.22342240868943</v>
      </c>
      <c r="E14" s="4">
        <v>193.05251650958203</v>
      </c>
      <c r="F14" s="4">
        <v>193.11443732285426</v>
      </c>
      <c r="G14" s="4">
        <v>195.77739483120982</v>
      </c>
      <c r="H14" s="4">
        <v>194.94126945602849</v>
      </c>
      <c r="I14" s="4">
        <v>194.86284818366858</v>
      </c>
      <c r="J14" s="4">
        <v>193.31877491572436</v>
      </c>
      <c r="K14" s="4">
        <v>195.45410186059371</v>
      </c>
      <c r="L14" s="4">
        <v>194.69926185239592</v>
      </c>
      <c r="M14" s="4">
        <v>194.79302298875896</v>
      </c>
      <c r="N14" s="4">
        <v>194.69717612824138</v>
      </c>
      <c r="O14" s="4">
        <v>194.67584604044805</v>
      </c>
      <c r="P14" s="4">
        <v>194.10579298536885</v>
      </c>
      <c r="Q14" s="4">
        <v>195.42314095228792</v>
      </c>
      <c r="R14" s="4">
        <v>194.65776450387233</v>
      </c>
      <c r="S14" s="4">
        <v>195.09209516002824</v>
      </c>
      <c r="T14" s="4">
        <v>193.96125428919157</v>
      </c>
      <c r="U14" s="4">
        <v>195.71294023798262</v>
      </c>
      <c r="V14" s="4">
        <v>194.01702516987473</v>
      </c>
      <c r="W14" s="4">
        <v>195.47686002549148</v>
      </c>
      <c r="X14" s="4">
        <v>195.28922708889047</v>
      </c>
      <c r="Y14" s="4">
        <v>195.04197624029541</v>
      </c>
      <c r="Z14" s="4">
        <v>195.46376627286634</v>
      </c>
      <c r="AA14" s="4">
        <v>195.45701455373194</v>
      </c>
      <c r="AB14" s="4">
        <v>195.78301867881473</v>
      </c>
      <c r="AC14" s="4">
        <v>193.62901231774612</v>
      </c>
      <c r="AD14" s="4">
        <v>193.19428437233941</v>
      </c>
      <c r="AE14" s="4">
        <v>195.78193678580035</v>
      </c>
      <c r="AF14" s="4">
        <v>193.49176144282117</v>
      </c>
      <c r="AG14" s="4">
        <v>195.96734066784961</v>
      </c>
      <c r="AH14" s="4">
        <v>195.16795185614146</v>
      </c>
      <c r="AI14" s="4">
        <v>193.39618929464314</v>
      </c>
      <c r="AJ14" s="4">
        <v>194.82029345451758</v>
      </c>
      <c r="AK14" s="4">
        <v>195.16275207354661</v>
      </c>
      <c r="AL14" s="4">
        <v>193.68244575697372</v>
      </c>
      <c r="AM14" s="4">
        <v>194.82695794246001</v>
      </c>
      <c r="AN14" s="4">
        <v>193.16703998318076</v>
      </c>
      <c r="AO14" s="4">
        <v>194.31087334418896</v>
      </c>
      <c r="AP14" s="4">
        <v>194.21783622019356</v>
      </c>
      <c r="AQ14" s="4">
        <v>193.64796776789012</v>
      </c>
      <c r="AR14" s="4">
        <v>195.7741138594757</v>
      </c>
      <c r="AS14" s="4">
        <v>193.30059124805231</v>
      </c>
      <c r="AT14" s="4">
        <v>193.74875375610267</v>
      </c>
      <c r="AU14" s="4">
        <v>194.03159453364111</v>
      </c>
      <c r="AV14" s="4">
        <v>195.61385404463658</v>
      </c>
      <c r="AW14" s="4">
        <v>195.68028157316277</v>
      </c>
      <c r="AX14" s="4">
        <v>195.97385366856878</v>
      </c>
      <c r="AY14" s="4">
        <v>195.65089102024561</v>
      </c>
      <c r="AZ14" s="4">
        <v>194.38602085642415</v>
      </c>
    </row>
    <row r="15" spans="1:52">
      <c r="A15" s="3">
        <v>98</v>
      </c>
      <c r="B15" s="3">
        <v>208</v>
      </c>
      <c r="C15" s="4">
        <v>207.09985345707767</v>
      </c>
      <c r="D15" s="4">
        <v>209.6015620593906</v>
      </c>
      <c r="E15" s="4">
        <v>207.69029220158833</v>
      </c>
      <c r="F15" s="4">
        <v>209.32470436629691</v>
      </c>
      <c r="G15" s="4">
        <v>209.03159749202345</v>
      </c>
      <c r="H15" s="4">
        <v>208.26970011830059</v>
      </c>
      <c r="I15" s="4">
        <v>209.35225497205235</v>
      </c>
      <c r="J15" s="4">
        <v>209.15002541121217</v>
      </c>
      <c r="K15" s="4">
        <v>209.68150369428599</v>
      </c>
      <c r="L15" s="4">
        <v>207.81729840504352</v>
      </c>
      <c r="M15" s="4">
        <v>209.81080430742901</v>
      </c>
      <c r="N15" s="4">
        <v>208.01907188712249</v>
      </c>
      <c r="O15" s="4">
        <v>207.71992710643104</v>
      </c>
      <c r="P15" s="4">
        <v>208.25935268972921</v>
      </c>
      <c r="Q15" s="4">
        <v>207.19431366452548</v>
      </c>
      <c r="R15" s="4">
        <v>208.61984994933604</v>
      </c>
      <c r="S15" s="4">
        <v>208.39649894270434</v>
      </c>
      <c r="T15" s="4">
        <v>207.60796129435326</v>
      </c>
      <c r="U15" s="4">
        <v>208.7842637956378</v>
      </c>
      <c r="V15" s="4">
        <v>209.39926476068686</v>
      </c>
      <c r="W15" s="4">
        <v>207.99182005235591</v>
      </c>
      <c r="X15" s="4">
        <v>208.23779122154602</v>
      </c>
      <c r="Y15" s="4">
        <v>209.10771376741747</v>
      </c>
      <c r="Z15" s="4">
        <v>208.2466103749245</v>
      </c>
      <c r="AA15" s="4">
        <v>208.19426441471433</v>
      </c>
      <c r="AB15" s="4">
        <v>209.48427132420855</v>
      </c>
      <c r="AC15" s="4">
        <v>208.89824141369979</v>
      </c>
      <c r="AD15" s="4">
        <v>207.75939588858</v>
      </c>
      <c r="AE15" s="4">
        <v>208.60111112863916</v>
      </c>
      <c r="AF15" s="4">
        <v>207.48623134467391</v>
      </c>
      <c r="AG15" s="4">
        <v>209.74957159737852</v>
      </c>
      <c r="AH15" s="4">
        <v>207.7282268557214</v>
      </c>
      <c r="AI15" s="4">
        <v>207.79322372033405</v>
      </c>
      <c r="AJ15" s="4">
        <v>207.53470529812986</v>
      </c>
      <c r="AK15" s="4">
        <v>207.5361113902932</v>
      </c>
      <c r="AL15" s="4">
        <v>207.72746068061667</v>
      </c>
      <c r="AM15" s="4">
        <v>207.68249570153523</v>
      </c>
      <c r="AN15" s="4">
        <v>209.43961843872339</v>
      </c>
      <c r="AO15" s="4">
        <v>207.92461059836802</v>
      </c>
      <c r="AP15" s="4">
        <v>209.948354513331</v>
      </c>
      <c r="AQ15" s="4">
        <v>207.08128095618892</v>
      </c>
      <c r="AR15" s="4">
        <v>209.67607600741161</v>
      </c>
      <c r="AS15" s="4">
        <v>209.55116651000074</v>
      </c>
      <c r="AT15" s="4">
        <v>208.66142478795888</v>
      </c>
      <c r="AU15" s="4">
        <v>209.69302756725747</v>
      </c>
      <c r="AV15" s="4">
        <v>208.32197299252903</v>
      </c>
      <c r="AW15" s="4">
        <v>207.68779185373353</v>
      </c>
      <c r="AX15" s="4">
        <v>209.94473675715511</v>
      </c>
      <c r="AY15" s="4">
        <v>207.97333428016537</v>
      </c>
      <c r="AZ15" s="4">
        <v>209.04864330330091</v>
      </c>
    </row>
    <row r="16" spans="1:52">
      <c r="A16" s="3">
        <v>105</v>
      </c>
      <c r="B16" s="3">
        <v>222</v>
      </c>
      <c r="C16" s="4">
        <v>222.88431363079664</v>
      </c>
      <c r="D16" s="4">
        <v>223.3024387031474</v>
      </c>
      <c r="E16" s="4">
        <v>222.69024336670992</v>
      </c>
      <c r="F16" s="4">
        <v>222.04765981968916</v>
      </c>
      <c r="G16" s="4">
        <v>222.48814155029871</v>
      </c>
      <c r="H16" s="4">
        <v>222.04450407875765</v>
      </c>
      <c r="I16" s="4">
        <v>223.53831706062792</v>
      </c>
      <c r="J16" s="4">
        <v>222.85799232613721</v>
      </c>
      <c r="K16" s="4">
        <v>221.90839619813102</v>
      </c>
      <c r="L16" s="4">
        <v>223.73640917084751</v>
      </c>
      <c r="M16" s="4">
        <v>222.86037514209366</v>
      </c>
      <c r="N16" s="4">
        <v>221.01670288718697</v>
      </c>
      <c r="O16" s="4">
        <v>223.43576710601019</v>
      </c>
      <c r="P16" s="4">
        <v>223.34533503610433</v>
      </c>
      <c r="Q16" s="4">
        <v>222.81852497375542</v>
      </c>
      <c r="R16" s="4">
        <v>223.90217132641763</v>
      </c>
      <c r="S16" s="4">
        <v>223.41967907303805</v>
      </c>
      <c r="T16" s="4">
        <v>221.10113810386292</v>
      </c>
      <c r="U16" s="4">
        <v>223.08563689085045</v>
      </c>
      <c r="V16" s="4">
        <v>222.12125173412807</v>
      </c>
      <c r="W16" s="4">
        <v>223.38384967061515</v>
      </c>
      <c r="X16" s="4">
        <v>221.09526058787401</v>
      </c>
      <c r="Y16" s="4">
        <v>222.56505841762902</v>
      </c>
      <c r="Z16" s="4">
        <v>223.85052283138725</v>
      </c>
      <c r="AA16" s="4">
        <v>223.54058980209774</v>
      </c>
      <c r="AB16" s="4">
        <v>221.75787545135552</v>
      </c>
      <c r="AC16" s="4">
        <v>221.04618042990313</v>
      </c>
      <c r="AD16" s="4">
        <v>223.49913263975648</v>
      </c>
      <c r="AE16" s="4">
        <v>223.09056526480498</v>
      </c>
      <c r="AF16" s="4">
        <v>223.41248544593776</v>
      </c>
      <c r="AG16" s="4">
        <v>223.80757427117257</v>
      </c>
      <c r="AH16" s="4">
        <v>222.51745607018708</v>
      </c>
      <c r="AI16" s="4">
        <v>223.94473890483721</v>
      </c>
      <c r="AJ16" s="4">
        <v>223.35719416931593</v>
      </c>
      <c r="AK16" s="4">
        <v>222.42941817785493</v>
      </c>
      <c r="AL16" s="4">
        <v>223.42578442085019</v>
      </c>
      <c r="AM16" s="4">
        <v>221.75521128996095</v>
      </c>
      <c r="AN16" s="4">
        <v>222.17186834184628</v>
      </c>
      <c r="AO16" s="4">
        <v>221.32693225204</v>
      </c>
      <c r="AP16" s="4">
        <v>223.38726512173085</v>
      </c>
      <c r="AQ16" s="4">
        <v>222.39167939416313</v>
      </c>
      <c r="AR16" s="4">
        <v>223.20041001430906</v>
      </c>
      <c r="AS16" s="4">
        <v>221.76654038944937</v>
      </c>
      <c r="AT16" s="4">
        <v>222.89931094671138</v>
      </c>
      <c r="AU16" s="4">
        <v>223.25023156930791</v>
      </c>
      <c r="AV16" s="4">
        <v>221.40735730357761</v>
      </c>
      <c r="AW16" s="4">
        <v>223.37647788693158</v>
      </c>
      <c r="AX16" s="4">
        <v>222.42769709803082</v>
      </c>
      <c r="AY16" s="4">
        <v>221.03119760459461</v>
      </c>
      <c r="AZ16" s="4">
        <v>223.05803246527432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52"/>
  <sheetViews>
    <sheetView workbookViewId="0"/>
  </sheetViews>
  <sheetFormatPr defaultColWidth="12.6640625" defaultRowHeight="15" customHeight="1"/>
  <cols>
    <col min="5" max="5" width="21.5" customWidth="1"/>
    <col min="7" max="7" width="14.75" customWidth="1"/>
  </cols>
  <sheetData>
    <row r="1" spans="1:13">
      <c r="A1" s="6" t="s">
        <v>102</v>
      </c>
      <c r="B1" s="6" t="s">
        <v>103</v>
      </c>
      <c r="C1" s="6" t="s">
        <v>104</v>
      </c>
      <c r="I1" s="7" t="s">
        <v>105</v>
      </c>
      <c r="J1" s="7" t="s">
        <v>106</v>
      </c>
      <c r="K1" s="7" t="s">
        <v>107</v>
      </c>
      <c r="L1" s="7" t="s">
        <v>108</v>
      </c>
      <c r="M1" s="7" t="s">
        <v>109</v>
      </c>
    </row>
    <row r="2" spans="1:13">
      <c r="A2" s="8">
        <v>1</v>
      </c>
      <c r="B2" s="8">
        <v>12.637497863503899</v>
      </c>
      <c r="C2" s="9">
        <v>1.9934301996744903</v>
      </c>
      <c r="F2" s="5" t="s">
        <v>103</v>
      </c>
      <c r="G2" s="5" t="s">
        <v>104</v>
      </c>
      <c r="I2" s="7">
        <v>1</v>
      </c>
      <c r="J2" s="3">
        <v>1.9829281171222863</v>
      </c>
      <c r="K2" s="3">
        <f t="shared" ref="K2:K8" si="0">J2+$G$8</f>
        <v>1.9862300637634012</v>
      </c>
      <c r="L2" s="3">
        <f t="shared" ref="L2:L11" si="1">(J2+K2)/2</f>
        <v>1.9845790904428438</v>
      </c>
      <c r="M2" s="7">
        <f t="shared" ref="M2:M11" si="2">COUNTIFS(C2:C51, "&gt;="&amp;J2,C2:C51, "&lt;"&amp;K2)</f>
        <v>2</v>
      </c>
    </row>
    <row r="3" spans="1:13">
      <c r="A3" s="8">
        <v>2</v>
      </c>
      <c r="B3" s="9">
        <v>13.282282130644944</v>
      </c>
      <c r="C3" s="9">
        <v>1.9898186884143474</v>
      </c>
      <c r="E3" s="10" t="s">
        <v>110</v>
      </c>
      <c r="F3" s="11">
        <f t="shared" ref="F3:G3" si="3">AVERAGE(B2:B51)</f>
        <v>12.474520510102948</v>
      </c>
      <c r="G3" s="11">
        <f t="shared" si="3"/>
        <v>2.0005120321070113</v>
      </c>
      <c r="I3" s="7">
        <v>2</v>
      </c>
      <c r="J3" s="3">
        <f t="shared" ref="J3:J11" si="4">K2</f>
        <v>1.9862300637634012</v>
      </c>
      <c r="K3" s="3">
        <f t="shared" si="0"/>
        <v>1.989532010404516</v>
      </c>
      <c r="L3" s="3">
        <f t="shared" si="1"/>
        <v>1.9878810370839586</v>
      </c>
      <c r="M3" s="7">
        <f t="shared" si="2"/>
        <v>1</v>
      </c>
    </row>
    <row r="4" spans="1:13">
      <c r="A4" s="8">
        <v>3</v>
      </c>
      <c r="B4" s="9">
        <v>12.88429640074753</v>
      </c>
      <c r="C4" s="9">
        <v>1.9942445386200092</v>
      </c>
      <c r="E4" s="10" t="s">
        <v>111</v>
      </c>
      <c r="F4" s="11">
        <f t="shared" ref="F4:G4" si="5">STDEV(B2:B51)</f>
        <v>0.55963096283660319</v>
      </c>
      <c r="G4" s="11">
        <f t="shared" si="5"/>
        <v>8.1656034943038396E-3</v>
      </c>
      <c r="I4" s="7">
        <v>3</v>
      </c>
      <c r="J4" s="3">
        <f t="shared" si="4"/>
        <v>1.989532010404516</v>
      </c>
      <c r="K4" s="3">
        <f t="shared" si="0"/>
        <v>1.9928339570456308</v>
      </c>
      <c r="L4" s="3">
        <f t="shared" si="1"/>
        <v>1.9911829837250734</v>
      </c>
      <c r="M4" s="7">
        <f t="shared" si="2"/>
        <v>5</v>
      </c>
    </row>
    <row r="5" spans="1:13">
      <c r="A5" s="8">
        <v>4</v>
      </c>
      <c r="B5" s="9">
        <v>13.319752222018906</v>
      </c>
      <c r="C5" s="9">
        <v>1.9875366079394521</v>
      </c>
      <c r="E5" s="10" t="s">
        <v>112</v>
      </c>
      <c r="F5" s="11">
        <f t="shared" ref="F5:G5" si="6">MAX(B2:B51)</f>
        <v>13.71370866449638</v>
      </c>
      <c r="G5" s="11">
        <f t="shared" si="6"/>
        <v>2.0159475835334337</v>
      </c>
      <c r="I5" s="7">
        <v>4</v>
      </c>
      <c r="J5" s="3">
        <f t="shared" si="4"/>
        <v>1.9928339570456308</v>
      </c>
      <c r="K5" s="3">
        <f t="shared" si="0"/>
        <v>1.9961359036867456</v>
      </c>
      <c r="L5" s="3">
        <f t="shared" si="1"/>
        <v>1.9944849303661882</v>
      </c>
      <c r="M5" s="7">
        <f t="shared" si="2"/>
        <v>3</v>
      </c>
    </row>
    <row r="6" spans="1:13">
      <c r="A6" s="8">
        <v>5</v>
      </c>
      <c r="B6" s="9">
        <v>12.334683080954278</v>
      </c>
      <c r="C6" s="9">
        <v>2.0035098969540375</v>
      </c>
      <c r="E6" s="10" t="s">
        <v>113</v>
      </c>
      <c r="F6" s="11">
        <f t="shared" ref="F6:G6" si="7">MIN(B2:B51)</f>
        <v>11.190653812299729</v>
      </c>
      <c r="G6" s="11">
        <f t="shared" si="7"/>
        <v>1.9829281171222863</v>
      </c>
      <c r="I6" s="7">
        <v>5</v>
      </c>
      <c r="J6" s="3">
        <f t="shared" si="4"/>
        <v>1.9961359036867456</v>
      </c>
      <c r="K6" s="3">
        <f t="shared" si="0"/>
        <v>1.9994378503278605</v>
      </c>
      <c r="L6" s="3">
        <f t="shared" si="1"/>
        <v>1.9977868770073031</v>
      </c>
      <c r="M6" s="7">
        <f t="shared" si="2"/>
        <v>9</v>
      </c>
    </row>
    <row r="7" spans="1:13">
      <c r="A7" s="8">
        <v>6</v>
      </c>
      <c r="B7" s="9">
        <v>12.457545566467388</v>
      </c>
      <c r="C7" s="9">
        <v>2.0014600652770422</v>
      </c>
      <c r="E7" s="10" t="s">
        <v>114</v>
      </c>
      <c r="F7" s="11">
        <f t="shared" ref="F7:G7" si="8">F5-F6</f>
        <v>2.5230548521966512</v>
      </c>
      <c r="G7" s="11">
        <f t="shared" si="8"/>
        <v>3.3019466411147391E-2</v>
      </c>
      <c r="I7" s="7">
        <v>6</v>
      </c>
      <c r="J7" s="3">
        <f t="shared" si="4"/>
        <v>1.9994378503278605</v>
      </c>
      <c r="K7" s="3">
        <f t="shared" si="0"/>
        <v>2.0027397969689753</v>
      </c>
      <c r="L7" s="3">
        <f t="shared" si="1"/>
        <v>2.0010888236484181</v>
      </c>
      <c r="M7" s="7">
        <f t="shared" si="2"/>
        <v>10</v>
      </c>
    </row>
    <row r="8" spans="1:13">
      <c r="A8" s="8">
        <v>7</v>
      </c>
      <c r="B8" s="9">
        <v>12.862576920255037</v>
      </c>
      <c r="C8" s="9">
        <v>1.9993270907667444</v>
      </c>
      <c r="E8" s="10" t="s">
        <v>115</v>
      </c>
      <c r="F8" s="11">
        <f t="shared" ref="F8:G8" si="9">F7/10</f>
        <v>0.25230548521966512</v>
      </c>
      <c r="G8" s="11">
        <f t="shared" si="9"/>
        <v>3.301946641114739E-3</v>
      </c>
      <c r="I8" s="7">
        <v>7</v>
      </c>
      <c r="J8" s="3">
        <f t="shared" si="4"/>
        <v>2.0027397969689753</v>
      </c>
      <c r="K8" s="3">
        <f t="shared" si="0"/>
        <v>2.0060417436100901</v>
      </c>
      <c r="L8" s="3">
        <f t="shared" si="1"/>
        <v>2.0043907702895325</v>
      </c>
      <c r="M8" s="7">
        <f t="shared" si="2"/>
        <v>4</v>
      </c>
    </row>
    <row r="9" spans="1:13">
      <c r="A9" s="8">
        <v>8</v>
      </c>
      <c r="B9" s="9">
        <v>13.038766655864379</v>
      </c>
      <c r="C9" s="9">
        <v>1.9908088129820705</v>
      </c>
      <c r="I9" s="7">
        <v>8</v>
      </c>
      <c r="J9" s="3">
        <f t="shared" si="4"/>
        <v>2.0060417436100901</v>
      </c>
      <c r="K9" s="3">
        <f>J9+G8</f>
        <v>2.009343690251205</v>
      </c>
      <c r="L9" s="3">
        <f t="shared" si="1"/>
        <v>2.0076927169306478</v>
      </c>
      <c r="M9" s="7">
        <f t="shared" si="2"/>
        <v>5</v>
      </c>
    </row>
    <row r="10" spans="1:13">
      <c r="A10" s="8">
        <v>9</v>
      </c>
      <c r="B10" s="9">
        <v>12.527867917004414</v>
      </c>
      <c r="C10" s="9">
        <v>2.001402504299719</v>
      </c>
      <c r="G10" s="7" t="s">
        <v>116</v>
      </c>
      <c r="I10" s="7">
        <v>9</v>
      </c>
      <c r="J10" s="3">
        <f t="shared" si="4"/>
        <v>2.009343690251205</v>
      </c>
      <c r="K10" s="3">
        <f t="shared" ref="K10:K11" si="10">J10+$G$8</f>
        <v>2.0126456368923198</v>
      </c>
      <c r="L10" s="3">
        <f t="shared" si="1"/>
        <v>2.0109946635717622</v>
      </c>
      <c r="M10" s="7">
        <f t="shared" si="2"/>
        <v>2</v>
      </c>
    </row>
    <row r="11" spans="1:13">
      <c r="A11" s="8">
        <v>10</v>
      </c>
      <c r="B11" s="9">
        <v>11.93751341657844</v>
      </c>
      <c r="C11" s="9">
        <v>2.0052041304782566</v>
      </c>
      <c r="I11" s="7">
        <v>10</v>
      </c>
      <c r="J11" s="3">
        <f t="shared" si="4"/>
        <v>2.0126456368923198</v>
      </c>
      <c r="K11" s="3">
        <f t="shared" si="10"/>
        <v>2.0159475835334346</v>
      </c>
      <c r="L11" s="3">
        <f t="shared" si="1"/>
        <v>2.0142966102128774</v>
      </c>
      <c r="M11" s="7">
        <f t="shared" si="2"/>
        <v>4</v>
      </c>
    </row>
    <row r="12" spans="1:13">
      <c r="A12" s="8">
        <v>11</v>
      </c>
      <c r="B12" s="9">
        <v>11.190653812299729</v>
      </c>
      <c r="C12" s="9">
        <v>2.0155617491064195</v>
      </c>
    </row>
    <row r="13" spans="1:13">
      <c r="A13" s="8">
        <v>12</v>
      </c>
      <c r="B13" s="9">
        <v>12.30919699338142</v>
      </c>
      <c r="C13" s="9">
        <v>1.9969006427592326</v>
      </c>
    </row>
    <row r="14" spans="1:13">
      <c r="A14" s="8">
        <v>13</v>
      </c>
      <c r="B14" s="9">
        <v>11.784923986001104</v>
      </c>
      <c r="C14" s="8">
        <v>2.007863763</v>
      </c>
    </row>
    <row r="15" spans="1:13">
      <c r="A15" s="8">
        <v>14</v>
      </c>
      <c r="B15" s="9">
        <v>12.106355760593601</v>
      </c>
      <c r="C15" s="9">
        <v>2.006555994297182</v>
      </c>
    </row>
    <row r="16" spans="1:13">
      <c r="A16" s="8">
        <v>15</v>
      </c>
      <c r="B16" s="9">
        <v>13.229110936507709</v>
      </c>
      <c r="C16" s="9">
        <v>1.990503119847931</v>
      </c>
    </row>
    <row r="17" spans="1:3">
      <c r="A17" s="8">
        <v>16</v>
      </c>
      <c r="B17" s="9">
        <v>11.853724869517919</v>
      </c>
      <c r="C17" s="9">
        <v>2.0093057239490104</v>
      </c>
    </row>
    <row r="18" spans="1:3">
      <c r="A18" s="8">
        <v>17</v>
      </c>
      <c r="B18" s="9">
        <v>12.197158629634146</v>
      </c>
      <c r="C18" s="9">
        <v>2.00492125378236</v>
      </c>
    </row>
    <row r="19" spans="1:3">
      <c r="A19" s="8">
        <v>18</v>
      </c>
      <c r="B19" s="9">
        <v>12.421898713475116</v>
      </c>
      <c r="C19" s="9">
        <v>1.998977211341165</v>
      </c>
    </row>
    <row r="20" spans="1:3">
      <c r="A20" s="8">
        <v>19</v>
      </c>
      <c r="B20" s="9">
        <v>12.240109382799005</v>
      </c>
      <c r="C20" s="9">
        <v>2.0052229342934904</v>
      </c>
    </row>
    <row r="21" spans="1:3">
      <c r="A21" s="8">
        <v>20</v>
      </c>
      <c r="B21" s="9">
        <v>12.245283344684481</v>
      </c>
      <c r="C21" s="9">
        <v>2.0021060438339529</v>
      </c>
    </row>
    <row r="22" spans="1:3">
      <c r="A22" s="8">
        <v>21</v>
      </c>
      <c r="B22" s="9">
        <v>11.478643580110202</v>
      </c>
      <c r="C22" s="9">
        <v>2.0107076219855422</v>
      </c>
    </row>
    <row r="23" spans="1:3">
      <c r="A23" s="8">
        <v>22</v>
      </c>
      <c r="B23" s="9">
        <v>12.342233383345729</v>
      </c>
      <c r="C23" s="9">
        <v>1.9988331740042682</v>
      </c>
    </row>
    <row r="24" spans="1:3">
      <c r="A24" s="8">
        <v>23</v>
      </c>
      <c r="B24" s="9">
        <v>12.828770803236807</v>
      </c>
      <c r="C24" s="9">
        <v>1.9975174587877369</v>
      </c>
    </row>
    <row r="25" spans="1:3">
      <c r="A25" s="8">
        <v>24</v>
      </c>
      <c r="B25" s="9">
        <v>11.633083205855996</v>
      </c>
      <c r="C25" s="9">
        <v>2.0139612100385325</v>
      </c>
    </row>
    <row r="26" spans="1:3">
      <c r="A26" s="8">
        <v>25</v>
      </c>
      <c r="B26" s="9">
        <v>12.381463011755613</v>
      </c>
      <c r="C26" s="9">
        <v>2.0081310676487298</v>
      </c>
    </row>
    <row r="27" spans="1:3">
      <c r="A27" s="8">
        <v>26</v>
      </c>
      <c r="B27" s="9">
        <v>12.705325721537179</v>
      </c>
      <c r="C27" s="9">
        <v>2.0015884819876995</v>
      </c>
    </row>
    <row r="28" spans="1:3">
      <c r="A28" s="8">
        <v>27</v>
      </c>
      <c r="B28" s="9">
        <v>13.077493334435758</v>
      </c>
      <c r="C28" s="9">
        <v>1.9898646485900482</v>
      </c>
    </row>
    <row r="29" spans="1:3">
      <c r="A29" s="8">
        <v>28</v>
      </c>
      <c r="B29" s="9">
        <v>12.551057441230114</v>
      </c>
      <c r="C29" s="9">
        <v>1.9987165637067488</v>
      </c>
    </row>
    <row r="30" spans="1:3">
      <c r="A30" s="8">
        <v>29</v>
      </c>
      <c r="B30" s="9">
        <v>12.889011999952913</v>
      </c>
      <c r="C30" s="9">
        <v>2.0009505987900589</v>
      </c>
    </row>
    <row r="31" spans="1:3">
      <c r="A31" s="8">
        <v>30</v>
      </c>
      <c r="B31" s="9">
        <v>12.717576725953563</v>
      </c>
      <c r="C31" s="9">
        <v>1.9943562563116508</v>
      </c>
    </row>
    <row r="32" spans="1:3">
      <c r="A32" s="8">
        <v>31</v>
      </c>
      <c r="B32" s="9">
        <v>12.084506902670682</v>
      </c>
      <c r="C32" s="9">
        <v>2.0143798660914651</v>
      </c>
    </row>
    <row r="33" spans="1:3">
      <c r="A33" s="8">
        <v>32</v>
      </c>
      <c r="B33" s="9">
        <v>12.275387415388195</v>
      </c>
      <c r="C33" s="9">
        <v>2.0003891761014074</v>
      </c>
    </row>
    <row r="34" spans="1:3">
      <c r="A34" s="8">
        <v>33</v>
      </c>
      <c r="B34" s="9">
        <v>13.106069360518745</v>
      </c>
      <c r="C34" s="9">
        <v>1.9907607625622834</v>
      </c>
    </row>
    <row r="35" spans="1:3">
      <c r="A35" s="8">
        <v>34</v>
      </c>
      <c r="B35" s="9">
        <v>12.559480583565232</v>
      </c>
      <c r="C35" s="9">
        <v>1.9985258804285984</v>
      </c>
    </row>
    <row r="36" spans="1:3">
      <c r="A36" s="8">
        <v>35</v>
      </c>
      <c r="B36" s="9">
        <v>12.580062395344271</v>
      </c>
      <c r="C36" s="9">
        <v>2.0026861764827366</v>
      </c>
    </row>
    <row r="37" spans="1:3">
      <c r="A37" s="8">
        <v>36</v>
      </c>
      <c r="B37" s="9">
        <v>13.71370866449638</v>
      </c>
      <c r="C37" s="9">
        <v>1.9829281171222863</v>
      </c>
    </row>
    <row r="38" spans="1:3">
      <c r="A38" s="8">
        <v>37</v>
      </c>
      <c r="B38" s="9">
        <v>13.117666096516245</v>
      </c>
      <c r="C38" s="9">
        <v>1.9895836519461962</v>
      </c>
    </row>
    <row r="39" spans="1:3">
      <c r="A39" s="8">
        <v>38</v>
      </c>
      <c r="B39" s="9">
        <v>12.486307917174258</v>
      </c>
      <c r="C39" s="9">
        <v>2.0025358964584719</v>
      </c>
    </row>
    <row r="40" spans="1:3">
      <c r="A40" s="8">
        <v>39</v>
      </c>
      <c r="B40" s="9">
        <v>12.275517471525404</v>
      </c>
      <c r="C40" s="9">
        <v>1.9971552656065121</v>
      </c>
    </row>
    <row r="41" spans="1:3">
      <c r="A41" s="8">
        <v>40</v>
      </c>
      <c r="B41" s="9">
        <v>11.645407490802995</v>
      </c>
      <c r="C41" s="9">
        <v>2.0134342374386716</v>
      </c>
    </row>
    <row r="42" spans="1:3">
      <c r="A42" s="8">
        <v>41</v>
      </c>
      <c r="B42" s="9">
        <v>12.345363552779418</v>
      </c>
      <c r="C42" s="9">
        <v>1.9965807513738927</v>
      </c>
    </row>
    <row r="43" spans="1:3">
      <c r="A43" s="8">
        <v>42</v>
      </c>
      <c r="B43" s="9">
        <v>12.160533248387424</v>
      </c>
      <c r="C43" s="9">
        <v>2.0115777627752642</v>
      </c>
    </row>
    <row r="44" spans="1:3">
      <c r="A44" s="8">
        <v>43</v>
      </c>
      <c r="B44" s="9">
        <v>12.219812388538458</v>
      </c>
      <c r="C44" s="9">
        <v>2.0013564989715036</v>
      </c>
    </row>
    <row r="45" spans="1:3">
      <c r="A45" s="8">
        <v>44</v>
      </c>
      <c r="B45" s="9">
        <v>12.312089632550283</v>
      </c>
      <c r="C45" s="9">
        <v>2.0005074411213624</v>
      </c>
    </row>
    <row r="46" spans="1:3">
      <c r="A46" s="8">
        <v>45</v>
      </c>
      <c r="B46" s="9">
        <v>12.164171238100153</v>
      </c>
      <c r="C46" s="9">
        <v>2.0093124037157413</v>
      </c>
    </row>
    <row r="47" spans="1:3">
      <c r="A47" s="8">
        <v>46</v>
      </c>
      <c r="B47" s="9">
        <v>13.433494311604363</v>
      </c>
      <c r="C47" s="9">
        <v>1.9857571672198411</v>
      </c>
    </row>
    <row r="48" spans="1:3">
      <c r="A48" s="8">
        <v>47</v>
      </c>
      <c r="B48" s="9">
        <v>13.485631683037582</v>
      </c>
      <c r="C48" s="9">
        <v>1.9938310754673712</v>
      </c>
    </row>
    <row r="49" spans="1:3">
      <c r="A49" s="8">
        <v>48</v>
      </c>
      <c r="B49" s="9">
        <v>12.035873816866115</v>
      </c>
      <c r="C49" s="9">
        <v>2.0057159534781199</v>
      </c>
    </row>
    <row r="50" spans="1:3">
      <c r="A50" s="8">
        <v>49</v>
      </c>
      <c r="B50" s="9">
        <v>12.874652598196008</v>
      </c>
      <c r="C50" s="9">
        <v>1.9933478839874912</v>
      </c>
    </row>
    <row r="51" spans="1:3">
      <c r="A51" s="8">
        <v>50</v>
      </c>
      <c r="B51" s="9">
        <v>11.384430926737878</v>
      </c>
      <c r="C51" s="9">
        <v>2.0159475835334337</v>
      </c>
    </row>
    <row r="52" spans="1:3">
      <c r="A52" s="7"/>
      <c r="B52"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99"/>
  <sheetViews>
    <sheetView workbookViewId="0"/>
  </sheetViews>
  <sheetFormatPr defaultColWidth="12.6640625" defaultRowHeight="15" customHeight="1"/>
  <cols>
    <col min="1" max="1" width="8.6640625" customWidth="1"/>
    <col min="2" max="2" width="10.6640625" customWidth="1"/>
    <col min="3" max="4" width="8.6640625" customWidth="1"/>
    <col min="5" max="5" width="18.4140625" customWidth="1"/>
    <col min="6" max="6" width="12.75" customWidth="1"/>
    <col min="7" max="7" width="14.75" customWidth="1"/>
    <col min="8" max="8" width="8.6640625" customWidth="1"/>
    <col min="9" max="9" width="21.9140625" customWidth="1"/>
    <col min="10" max="10" width="12.5" customWidth="1"/>
    <col min="11" max="26" width="8.6640625" customWidth="1"/>
  </cols>
  <sheetData>
    <row r="1" spans="1:10" ht="14">
      <c r="A1" s="3">
        <v>7</v>
      </c>
      <c r="B1" s="4">
        <v>25.254983206598659</v>
      </c>
    </row>
    <row r="2" spans="1:10" ht="14">
      <c r="A2" s="3">
        <v>14</v>
      </c>
      <c r="B2" s="4">
        <v>41.988522976045495</v>
      </c>
    </row>
    <row r="3" spans="1:10" ht="14">
      <c r="A3" s="3">
        <v>21</v>
      </c>
      <c r="B3" s="4">
        <v>54.683802560022343</v>
      </c>
      <c r="E3" s="13" t="s">
        <v>117</v>
      </c>
    </row>
    <row r="4" spans="1:10" ht="14">
      <c r="A4" s="3">
        <v>28</v>
      </c>
      <c r="B4" s="4">
        <v>67.770734957795639</v>
      </c>
    </row>
    <row r="5" spans="1:10" ht="14.5">
      <c r="A5" s="3">
        <v>35</v>
      </c>
      <c r="B5" s="4">
        <v>82.079815311352903</v>
      </c>
      <c r="E5" s="14" t="s">
        <v>118</v>
      </c>
      <c r="F5" s="15"/>
    </row>
    <row r="6" spans="1:10" ht="14">
      <c r="A6" s="3">
        <v>42</v>
      </c>
      <c r="B6" s="4">
        <v>95.907302074941541</v>
      </c>
      <c r="E6" s="13" t="s">
        <v>119</v>
      </c>
      <c r="F6" s="12">
        <v>0.99986803552916503</v>
      </c>
    </row>
    <row r="7" spans="1:10" ht="14">
      <c r="A7" s="3">
        <v>49</v>
      </c>
      <c r="B7" s="4">
        <v>109.74686746545981</v>
      </c>
      <c r="E7" s="13" t="s">
        <v>120</v>
      </c>
      <c r="F7" s="12">
        <v>0.9997360884729517</v>
      </c>
    </row>
    <row r="8" spans="1:10" ht="14">
      <c r="A8" s="3">
        <v>56</v>
      </c>
      <c r="B8" s="4">
        <v>123.16462441277272</v>
      </c>
      <c r="E8" s="13" t="s">
        <v>121</v>
      </c>
      <c r="F8" s="12">
        <v>0.99971409584569759</v>
      </c>
    </row>
    <row r="9" spans="1:10" ht="14">
      <c r="A9" s="3">
        <v>63</v>
      </c>
      <c r="B9" s="4">
        <v>139.74105020213</v>
      </c>
      <c r="E9" s="13" t="s">
        <v>122</v>
      </c>
      <c r="F9" s="12">
        <v>0.98715567347823541</v>
      </c>
    </row>
    <row r="10" spans="1:10" ht="14">
      <c r="A10" s="3">
        <v>70</v>
      </c>
      <c r="B10" s="4">
        <v>151.23149568854782</v>
      </c>
      <c r="E10" s="16" t="s">
        <v>123</v>
      </c>
      <c r="F10" s="17">
        <v>14</v>
      </c>
    </row>
    <row r="11" spans="1:10" ht="14">
      <c r="A11" s="3">
        <v>77</v>
      </c>
      <c r="B11" s="4">
        <v>167.03345039571883</v>
      </c>
    </row>
    <row r="12" spans="1:10" ht="14">
      <c r="A12" s="3">
        <v>84</v>
      </c>
      <c r="B12" s="4">
        <v>179.19841112309103</v>
      </c>
      <c r="E12" s="13" t="s">
        <v>124</v>
      </c>
    </row>
    <row r="13" spans="1:10" ht="14.5">
      <c r="A13" s="3">
        <v>91</v>
      </c>
      <c r="B13" s="4">
        <v>194.9220821621517</v>
      </c>
      <c r="E13" s="15"/>
      <c r="F13" s="14" t="s">
        <v>125</v>
      </c>
      <c r="G13" s="14" t="s">
        <v>126</v>
      </c>
      <c r="H13" s="14" t="s">
        <v>127</v>
      </c>
      <c r="I13" s="14" t="s">
        <v>128</v>
      </c>
      <c r="J13" s="14" t="s">
        <v>129</v>
      </c>
    </row>
    <row r="14" spans="1:10" ht="14">
      <c r="A14" s="3">
        <v>98</v>
      </c>
      <c r="B14" s="4">
        <v>207.09985345707767</v>
      </c>
      <c r="E14" s="13" t="s">
        <v>130</v>
      </c>
      <c r="F14" s="12">
        <v>1</v>
      </c>
      <c r="G14" s="12">
        <v>44297.533754960794</v>
      </c>
      <c r="H14" s="12">
        <v>44297.533754960794</v>
      </c>
      <c r="I14" s="12">
        <v>45457.78350741652</v>
      </c>
      <c r="J14" s="12">
        <v>0</v>
      </c>
    </row>
    <row r="15" spans="1:10" ht="14">
      <c r="A15" s="3">
        <v>105</v>
      </c>
      <c r="B15" s="4">
        <v>222.88431363079664</v>
      </c>
      <c r="E15" s="13" t="s">
        <v>131</v>
      </c>
      <c r="F15" s="12">
        <v>12</v>
      </c>
      <c r="G15" s="12">
        <v>11.693715884163222</v>
      </c>
      <c r="H15" s="12">
        <v>0.97447632368026849</v>
      </c>
    </row>
    <row r="16" spans="1:10" ht="14">
      <c r="E16" s="16" t="s">
        <v>132</v>
      </c>
      <c r="F16" s="17">
        <v>13</v>
      </c>
      <c r="G16" s="17">
        <v>44309.227470844955</v>
      </c>
      <c r="H16" s="18"/>
      <c r="I16" s="18"/>
      <c r="J16" s="18"/>
    </row>
    <row r="18" spans="5:13" ht="14.5">
      <c r="E18" s="15"/>
      <c r="F18" s="14" t="s">
        <v>133</v>
      </c>
      <c r="G18" s="14" t="s">
        <v>122</v>
      </c>
      <c r="H18" s="14" t="s">
        <v>134</v>
      </c>
      <c r="I18" s="14" t="s">
        <v>135</v>
      </c>
      <c r="J18" s="14" t="s">
        <v>136</v>
      </c>
      <c r="K18" s="14" t="s">
        <v>137</v>
      </c>
      <c r="L18" s="14" t="s">
        <v>136</v>
      </c>
      <c r="M18" s="14" t="s">
        <v>137</v>
      </c>
    </row>
    <row r="19" spans="5:13" ht="14">
      <c r="E19" s="13" t="s">
        <v>138</v>
      </c>
      <c r="F19" s="7">
        <v>12.637497863503899</v>
      </c>
      <c r="G19" s="12">
        <v>0.61569635246820642</v>
      </c>
      <c r="H19" s="12">
        <v>20.525536350577067</v>
      </c>
      <c r="I19" s="12">
        <v>1.0301498357665577E-10</v>
      </c>
      <c r="J19" s="12">
        <v>11.29601076945422</v>
      </c>
      <c r="K19" s="12">
        <v>13.978984957553543</v>
      </c>
      <c r="L19" s="12">
        <v>11.29601076945422</v>
      </c>
      <c r="M19" s="12">
        <v>13.978984957553543</v>
      </c>
    </row>
    <row r="20" spans="5:13" ht="15.75" customHeight="1">
      <c r="E20" s="19" t="s">
        <v>139</v>
      </c>
      <c r="F20" s="17">
        <v>1.9934301996744903</v>
      </c>
      <c r="G20" s="17">
        <v>9.3496834081306449E-3</v>
      </c>
      <c r="H20" s="17">
        <v>213.20831012748189</v>
      </c>
      <c r="I20" s="17">
        <v>7.6227435216451442E-23</v>
      </c>
      <c r="J20" s="17">
        <v>1.9730589897831581</v>
      </c>
      <c r="K20" s="17">
        <v>2.0138014095658225</v>
      </c>
      <c r="L20" s="17">
        <v>1.9730589897831581</v>
      </c>
      <c r="M20" s="17">
        <v>2.0138014095658225</v>
      </c>
    </row>
    <row r="21" spans="5:13" ht="15.75" customHeight="1"/>
    <row r="22" spans="5:13" ht="15.75" customHeight="1"/>
    <row r="23" spans="5:13" ht="15.75" customHeight="1"/>
    <row r="24" spans="5:13" ht="15.75" customHeight="1"/>
    <row r="25" spans="5:13" ht="15.75" customHeight="1"/>
    <row r="26" spans="5:13" ht="15.75" customHeight="1"/>
    <row r="27" spans="5:13" ht="15.75" customHeight="1"/>
    <row r="28" spans="5:13" ht="15.75" customHeight="1"/>
    <row r="29" spans="5:13" ht="15.75" customHeight="1"/>
    <row r="30" spans="5:13" ht="15.75" customHeight="1"/>
    <row r="31" spans="5:13" ht="15.75" customHeight="1"/>
    <row r="32" spans="5: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cols>
    <col min="5" max="5" width="18.4140625" customWidth="1"/>
  </cols>
  <sheetData>
    <row r="1" spans="1:10">
      <c r="A1" s="3">
        <v>7</v>
      </c>
      <c r="B1" s="4">
        <v>27.545343842211281</v>
      </c>
    </row>
    <row r="2" spans="1:10">
      <c r="A2" s="3">
        <v>14</v>
      </c>
      <c r="B2" s="4">
        <v>41.456612018305876</v>
      </c>
    </row>
    <row r="3" spans="1:10">
      <c r="A3" s="3">
        <v>21</v>
      </c>
      <c r="B3" s="4">
        <v>54.938678031041867</v>
      </c>
      <c r="E3" s="13" t="s">
        <v>117</v>
      </c>
    </row>
    <row r="4" spans="1:10">
      <c r="A4" s="3">
        <v>28</v>
      </c>
      <c r="B4" s="4">
        <v>69.530186715217383</v>
      </c>
    </row>
    <row r="5" spans="1:10" ht="15" customHeight="1">
      <c r="A5" s="3">
        <v>35</v>
      </c>
      <c r="B5" s="4">
        <v>83.164651130092949</v>
      </c>
      <c r="E5" s="14" t="s">
        <v>118</v>
      </c>
      <c r="F5" s="15"/>
    </row>
    <row r="6" spans="1:10">
      <c r="A6" s="3">
        <v>42</v>
      </c>
      <c r="B6" s="4">
        <v>95.659119118177188</v>
      </c>
      <c r="E6" s="13" t="s">
        <v>119</v>
      </c>
      <c r="F6" s="12">
        <v>0.99985380652306133</v>
      </c>
    </row>
    <row r="7" spans="1:10">
      <c r="A7" s="3">
        <v>49</v>
      </c>
      <c r="B7" s="4">
        <v>110.90870615435951</v>
      </c>
      <c r="E7" s="13" t="s">
        <v>120</v>
      </c>
      <c r="F7" s="12">
        <v>0.9997076344186554</v>
      </c>
    </row>
    <row r="8" spans="1:10">
      <c r="A8" s="3">
        <v>56</v>
      </c>
      <c r="B8" s="4">
        <v>125.59182464232246</v>
      </c>
      <c r="E8" s="13" t="s">
        <v>121</v>
      </c>
      <c r="F8" s="12">
        <v>0.99968327062021001</v>
      </c>
    </row>
    <row r="9" spans="1:10">
      <c r="A9" s="3">
        <v>63</v>
      </c>
      <c r="B9" s="4">
        <v>139.96732533480716</v>
      </c>
      <c r="E9" s="13" t="s">
        <v>122</v>
      </c>
      <c r="F9" s="12">
        <v>1.0371420450988098</v>
      </c>
    </row>
    <row r="10" spans="1:10">
      <c r="A10" s="3">
        <v>70</v>
      </c>
      <c r="B10" s="4">
        <v>151.25720102118976</v>
      </c>
      <c r="E10" s="16" t="s">
        <v>123</v>
      </c>
      <c r="F10" s="17">
        <v>14</v>
      </c>
    </row>
    <row r="11" spans="1:10">
      <c r="A11" s="3">
        <v>77</v>
      </c>
      <c r="B11" s="4">
        <v>165.00561561891763</v>
      </c>
    </row>
    <row r="12" spans="1:10">
      <c r="A12" s="3">
        <v>84</v>
      </c>
      <c r="B12" s="4">
        <v>179.86357432252115</v>
      </c>
      <c r="E12" s="13" t="s">
        <v>124</v>
      </c>
    </row>
    <row r="13" spans="1:10" ht="15" customHeight="1">
      <c r="A13" s="3">
        <v>91</v>
      </c>
      <c r="B13" s="4">
        <v>193.22342240868943</v>
      </c>
      <c r="E13" s="15"/>
      <c r="F13" s="14" t="s">
        <v>125</v>
      </c>
      <c r="G13" s="14" t="s">
        <v>126</v>
      </c>
      <c r="H13" s="14" t="s">
        <v>127</v>
      </c>
      <c r="I13" s="14" t="s">
        <v>128</v>
      </c>
      <c r="J13" s="14" t="s">
        <v>129</v>
      </c>
    </row>
    <row r="14" spans="1:10">
      <c r="A14" s="3">
        <v>98</v>
      </c>
      <c r="B14" s="4">
        <v>209.6015620593906</v>
      </c>
      <c r="E14" s="13" t="s">
        <v>130</v>
      </c>
      <c r="F14" s="12">
        <v>1</v>
      </c>
      <c r="G14" s="12">
        <v>44137.170856275501</v>
      </c>
      <c r="H14" s="12">
        <v>44137.170856275501</v>
      </c>
      <c r="I14" s="12">
        <v>41032.503066375401</v>
      </c>
      <c r="J14" s="12">
        <v>0</v>
      </c>
    </row>
    <row r="15" spans="1:10">
      <c r="A15" s="3">
        <v>105</v>
      </c>
      <c r="B15" s="4">
        <v>223.3024387031474</v>
      </c>
      <c r="E15" s="13" t="s">
        <v>131</v>
      </c>
      <c r="F15" s="12">
        <v>12</v>
      </c>
      <c r="G15" s="12">
        <v>12.907963460540898</v>
      </c>
      <c r="H15" s="12">
        <v>1.0756636217117415</v>
      </c>
    </row>
    <row r="16" spans="1:10">
      <c r="E16" s="16" t="s">
        <v>132</v>
      </c>
      <c r="F16" s="17">
        <v>13</v>
      </c>
      <c r="G16" s="17">
        <v>44150.078819736045</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13.282282130644944</v>
      </c>
      <c r="G19" s="12">
        <v>0.64687322507986589</v>
      </c>
      <c r="H19" s="12">
        <v>20.533052869834044</v>
      </c>
      <c r="I19" s="12">
        <v>1.0257495409698242E-10</v>
      </c>
      <c r="J19" s="12">
        <v>11.872866467465856</v>
      </c>
      <c r="K19" s="12">
        <v>14.691697793824032</v>
      </c>
      <c r="L19" s="12">
        <v>11.872866467465856</v>
      </c>
      <c r="M19" s="12">
        <v>14.691697793824032</v>
      </c>
    </row>
    <row r="20" spans="5:13">
      <c r="E20" s="19" t="s">
        <v>104</v>
      </c>
      <c r="F20" s="17">
        <v>1.9898186884143474</v>
      </c>
      <c r="G20" s="17">
        <v>9.8231211464022677E-3</v>
      </c>
      <c r="H20" s="17">
        <v>202.56481201426712</v>
      </c>
      <c r="I20" s="17">
        <v>1.4090419132253049E-22</v>
      </c>
      <c r="J20" s="17">
        <v>1.9684159463185746</v>
      </c>
      <c r="K20" s="17">
        <v>2.0112214305101199</v>
      </c>
      <c r="L20" s="17">
        <v>1.9684159463185746</v>
      </c>
      <c r="M20" s="17">
        <v>2.0112214305101199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26.681230656805756</v>
      </c>
    </row>
    <row r="2" spans="1:10">
      <c r="A2" s="3">
        <v>14</v>
      </c>
      <c r="B2" s="4">
        <v>39.824159440062218</v>
      </c>
    </row>
    <row r="3" spans="1:10">
      <c r="A3" s="3">
        <v>21</v>
      </c>
      <c r="B3" s="4">
        <v>54.079432165546876</v>
      </c>
      <c r="E3" s="13" t="s">
        <v>117</v>
      </c>
    </row>
    <row r="4" spans="1:10">
      <c r="A4" s="3">
        <v>28</v>
      </c>
      <c r="B4" s="4">
        <v>69.072163709287764</v>
      </c>
    </row>
    <row r="5" spans="1:10" ht="15" customHeight="1">
      <c r="A5" s="3">
        <v>35</v>
      </c>
      <c r="B5" s="4">
        <v>83.424963272339937</v>
      </c>
      <c r="E5" s="14" t="s">
        <v>118</v>
      </c>
      <c r="F5" s="15"/>
    </row>
    <row r="6" spans="1:10">
      <c r="A6" s="3">
        <v>42</v>
      </c>
      <c r="B6" s="4">
        <v>96.762090473978915</v>
      </c>
      <c r="E6" s="13" t="s">
        <v>119</v>
      </c>
      <c r="F6" s="12">
        <v>0.99990356293647065</v>
      </c>
    </row>
    <row r="7" spans="1:10">
      <c r="A7" s="3">
        <v>49</v>
      </c>
      <c r="B7" s="4">
        <v>109.9071969825247</v>
      </c>
      <c r="E7" s="13" t="s">
        <v>120</v>
      </c>
      <c r="F7" s="12">
        <v>0.99980713517304853</v>
      </c>
    </row>
    <row r="8" spans="1:10">
      <c r="A8" s="3">
        <v>56</v>
      </c>
      <c r="B8" s="4">
        <v>125.77880568129117</v>
      </c>
      <c r="E8" s="13" t="s">
        <v>121</v>
      </c>
      <c r="F8" s="12">
        <v>0.9997910631041359</v>
      </c>
    </row>
    <row r="9" spans="1:10">
      <c r="A9" s="3">
        <v>63</v>
      </c>
      <c r="B9" s="4">
        <v>139.95809551709641</v>
      </c>
      <c r="E9" s="13" t="s">
        <v>122</v>
      </c>
      <c r="F9" s="12">
        <v>0.84419918575440767</v>
      </c>
    </row>
    <row r="10" spans="1:10">
      <c r="A10" s="3">
        <v>70</v>
      </c>
      <c r="B10" s="4">
        <v>152.44264246576643</v>
      </c>
      <c r="E10" s="16" t="s">
        <v>123</v>
      </c>
      <c r="F10" s="17">
        <v>14</v>
      </c>
    </row>
    <row r="11" spans="1:10">
      <c r="A11" s="3">
        <v>77</v>
      </c>
      <c r="B11" s="4">
        <v>166.72802080808458</v>
      </c>
    </row>
    <row r="12" spans="1:10">
      <c r="A12" s="3">
        <v>84</v>
      </c>
      <c r="B12" s="4">
        <v>180.17522768707431</v>
      </c>
      <c r="E12" s="13" t="s">
        <v>124</v>
      </c>
    </row>
    <row r="13" spans="1:10" ht="15" customHeight="1">
      <c r="A13" s="3">
        <v>91</v>
      </c>
      <c r="B13" s="4">
        <v>193.05251650958203</v>
      </c>
      <c r="E13" s="15"/>
      <c r="F13" s="14" t="s">
        <v>125</v>
      </c>
      <c r="G13" s="14" t="s">
        <v>126</v>
      </c>
      <c r="H13" s="14" t="s">
        <v>127</v>
      </c>
      <c r="I13" s="14" t="s">
        <v>128</v>
      </c>
      <c r="J13" s="14" t="s">
        <v>129</v>
      </c>
    </row>
    <row r="14" spans="1:10">
      <c r="A14" s="3">
        <v>98</v>
      </c>
      <c r="B14" s="4">
        <v>207.69029220158833</v>
      </c>
      <c r="E14" s="13" t="s">
        <v>130</v>
      </c>
      <c r="F14" s="12">
        <v>1</v>
      </c>
      <c r="G14" s="12">
        <v>44333.733241745809</v>
      </c>
      <c r="H14" s="12">
        <v>44333.733241745809</v>
      </c>
      <c r="I14" s="12">
        <v>62207.743172855546</v>
      </c>
      <c r="J14" s="12">
        <v>0</v>
      </c>
    </row>
    <row r="15" spans="1:10">
      <c r="A15" s="3">
        <v>105</v>
      </c>
      <c r="B15" s="4">
        <v>222.69024336670992</v>
      </c>
      <c r="E15" s="13" t="s">
        <v>131</v>
      </c>
      <c r="F15" s="12">
        <v>12</v>
      </c>
      <c r="G15" s="12">
        <v>8.5520671827408599</v>
      </c>
      <c r="H15" s="12">
        <v>0.71267226522840499</v>
      </c>
    </row>
    <row r="16" spans="1:10">
      <c r="E16" s="16" t="s">
        <v>132</v>
      </c>
      <c r="F16" s="17">
        <v>13</v>
      </c>
      <c r="G16" s="17">
        <v>44342.285308928549</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12.88429640074753</v>
      </c>
      <c r="G19" s="12">
        <v>0.52653332538140807</v>
      </c>
      <c r="H19" s="12">
        <v>24.470049244109013</v>
      </c>
      <c r="I19" s="12">
        <v>1.3084751203048283E-11</v>
      </c>
      <c r="J19" s="12">
        <v>11.737078851456161</v>
      </c>
      <c r="K19" s="12">
        <v>14.031513950038899</v>
      </c>
      <c r="L19" s="12">
        <v>11.737078851456161</v>
      </c>
      <c r="M19" s="12">
        <v>14.031513950038899</v>
      </c>
    </row>
    <row r="20" spans="5:13">
      <c r="E20" s="19" t="s">
        <v>104</v>
      </c>
      <c r="F20" s="17">
        <v>1.9942445386200092</v>
      </c>
      <c r="G20" s="17">
        <v>7.9956944302355861E-3</v>
      </c>
      <c r="H20" s="17">
        <v>249.41480143098096</v>
      </c>
      <c r="I20" s="17">
        <v>1.1610906159903461E-23</v>
      </c>
      <c r="J20" s="17">
        <v>1.9768234172456063</v>
      </c>
      <c r="K20" s="17">
        <v>2.0116656599944123</v>
      </c>
      <c r="L20" s="17">
        <v>1.9768234172456063</v>
      </c>
      <c r="M20" s="17">
        <v>2.0116656599944123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25.995993769420117</v>
      </c>
    </row>
    <row r="2" spans="1:10">
      <c r="A2" s="3">
        <v>14</v>
      </c>
      <c r="B2" s="4">
        <v>41.101507967286508</v>
      </c>
    </row>
    <row r="3" spans="1:10">
      <c r="A3" s="3">
        <v>21</v>
      </c>
      <c r="B3" s="4">
        <v>55.562665545517547</v>
      </c>
      <c r="E3" s="13" t="s">
        <v>117</v>
      </c>
    </row>
    <row r="4" spans="1:10">
      <c r="A4" s="3">
        <v>28</v>
      </c>
      <c r="B4" s="4">
        <v>68.932331806140979</v>
      </c>
    </row>
    <row r="5" spans="1:10" ht="15" customHeight="1">
      <c r="A5" s="3">
        <v>35</v>
      </c>
      <c r="B5" s="4">
        <v>81.983534867277555</v>
      </c>
      <c r="E5" s="14" t="s">
        <v>118</v>
      </c>
      <c r="F5" s="15"/>
    </row>
    <row r="6" spans="1:10">
      <c r="A6" s="3">
        <v>42</v>
      </c>
      <c r="B6" s="4">
        <v>97.670766691849025</v>
      </c>
      <c r="E6" s="13" t="s">
        <v>119</v>
      </c>
      <c r="F6" s="12">
        <v>0.99990536379462835</v>
      </c>
    </row>
    <row r="7" spans="1:10">
      <c r="A7" s="3">
        <v>49</v>
      </c>
      <c r="B7" s="4">
        <v>110.33584045083838</v>
      </c>
      <c r="E7" s="13" t="s">
        <v>120</v>
      </c>
      <c r="F7" s="12">
        <v>0.99981073654526798</v>
      </c>
    </row>
    <row r="8" spans="1:10">
      <c r="A8" s="3">
        <v>56</v>
      </c>
      <c r="B8" s="4">
        <v>125.6501689921872</v>
      </c>
      <c r="E8" s="13" t="s">
        <v>121</v>
      </c>
      <c r="F8" s="12">
        <v>0.99979496459070694</v>
      </c>
    </row>
    <row r="9" spans="1:10">
      <c r="A9" s="3">
        <v>63</v>
      </c>
      <c r="B9" s="4">
        <v>138.23590907253589</v>
      </c>
      <c r="E9" s="13" t="s">
        <v>122</v>
      </c>
      <c r="F9" s="12">
        <v>0.8334657111149022</v>
      </c>
    </row>
    <row r="10" spans="1:10">
      <c r="A10" s="3">
        <v>70</v>
      </c>
      <c r="B10" s="4">
        <v>151.68840414400643</v>
      </c>
      <c r="E10" s="16" t="s">
        <v>123</v>
      </c>
      <c r="F10" s="17">
        <v>14</v>
      </c>
    </row>
    <row r="11" spans="1:10">
      <c r="A11" s="3">
        <v>77</v>
      </c>
      <c r="B11" s="4">
        <v>165.27413471508643</v>
      </c>
    </row>
    <row r="12" spans="1:10">
      <c r="A12" s="3">
        <v>84</v>
      </c>
      <c r="B12" s="4">
        <v>181.17245976026109</v>
      </c>
      <c r="E12" s="13" t="s">
        <v>124</v>
      </c>
    </row>
    <row r="13" spans="1:10" ht="15" customHeight="1">
      <c r="A13" s="3">
        <v>91</v>
      </c>
      <c r="B13" s="4">
        <v>193.11443732285426</v>
      </c>
      <c r="E13" s="15"/>
      <c r="F13" s="14" t="s">
        <v>125</v>
      </c>
      <c r="G13" s="14" t="s">
        <v>126</v>
      </c>
      <c r="H13" s="14" t="s">
        <v>127</v>
      </c>
      <c r="I13" s="14" t="s">
        <v>128</v>
      </c>
      <c r="J13" s="14" t="s">
        <v>129</v>
      </c>
    </row>
    <row r="14" spans="1:10">
      <c r="A14" s="3">
        <v>98</v>
      </c>
      <c r="B14" s="4">
        <v>209.32470436629691</v>
      </c>
      <c r="E14" s="13" t="s">
        <v>130</v>
      </c>
      <c r="F14" s="12">
        <v>1</v>
      </c>
      <c r="G14" s="12">
        <v>44035.988957659218</v>
      </c>
      <c r="H14" s="12">
        <v>44035.988957659218</v>
      </c>
      <c r="I14" s="12">
        <v>63391.682538648762</v>
      </c>
      <c r="J14" s="12">
        <v>0</v>
      </c>
    </row>
    <row r="15" spans="1:10">
      <c r="A15" s="3">
        <v>105</v>
      </c>
      <c r="B15" s="4">
        <v>222.04765981968916</v>
      </c>
      <c r="E15" s="13" t="s">
        <v>131</v>
      </c>
      <c r="F15" s="12">
        <v>12</v>
      </c>
      <c r="G15" s="12">
        <v>8.3359810992512351</v>
      </c>
      <c r="H15" s="12">
        <v>0.69466509160426959</v>
      </c>
    </row>
    <row r="16" spans="1:10">
      <c r="E16" s="16" t="s">
        <v>132</v>
      </c>
      <c r="F16" s="17">
        <v>13</v>
      </c>
      <c r="G16" s="17">
        <v>44044.324938758466</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13.319752222018906</v>
      </c>
      <c r="G19" s="12">
        <v>0.51983877723423655</v>
      </c>
      <c r="H19" s="12">
        <v>25.622852325264486</v>
      </c>
      <c r="I19" s="12">
        <v>7.6039566467071389E-12</v>
      </c>
      <c r="J19" s="12">
        <v>12.187120839924928</v>
      </c>
      <c r="K19" s="12">
        <v>14.452383604112883</v>
      </c>
      <c r="L19" s="12">
        <v>12.187120839924928</v>
      </c>
      <c r="M19" s="12">
        <v>14.452383604112883</v>
      </c>
    </row>
    <row r="20" spans="5:13">
      <c r="E20" s="19" t="s">
        <v>104</v>
      </c>
      <c r="F20" s="17">
        <v>1.9875366079394521</v>
      </c>
      <c r="G20" s="17">
        <v>7.8940340817770932E-3</v>
      </c>
      <c r="H20" s="17">
        <v>251.77704926908814</v>
      </c>
      <c r="I20" s="17">
        <v>1.0369261633517138E-23</v>
      </c>
      <c r="J20" s="17">
        <v>1.9703369854335855</v>
      </c>
      <c r="K20" s="17">
        <v>2.0047362304453187</v>
      </c>
      <c r="L20" s="17">
        <v>1.9703369854335855</v>
      </c>
      <c r="M20" s="17">
        <v>2.0047362304453187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26.72003577252282</v>
      </c>
    </row>
    <row r="2" spans="1:10">
      <c r="A2" s="3">
        <v>14</v>
      </c>
      <c r="B2" s="4">
        <v>41.199495768963246</v>
      </c>
    </row>
    <row r="3" spans="1:10">
      <c r="A3" s="3">
        <v>21</v>
      </c>
      <c r="B3" s="4">
        <v>54.862421381108966</v>
      </c>
      <c r="E3" s="13" t="s">
        <v>117</v>
      </c>
    </row>
    <row r="4" spans="1:10">
      <c r="A4" s="3">
        <v>28</v>
      </c>
      <c r="B4" s="4">
        <v>67.91092233290432</v>
      </c>
    </row>
    <row r="5" spans="1:10" ht="15" customHeight="1">
      <c r="A5" s="3">
        <v>35</v>
      </c>
      <c r="B5" s="4">
        <v>82.774840706134285</v>
      </c>
      <c r="E5" s="14" t="s">
        <v>118</v>
      </c>
      <c r="F5" s="15"/>
    </row>
    <row r="6" spans="1:10">
      <c r="A6" s="3">
        <v>42</v>
      </c>
      <c r="B6" s="4">
        <v>95.032746282097875</v>
      </c>
      <c r="E6" s="13" t="s">
        <v>119</v>
      </c>
      <c r="F6" s="12">
        <v>0.99989011553467066</v>
      </c>
    </row>
    <row r="7" spans="1:10">
      <c r="A7" s="3">
        <v>49</v>
      </c>
      <c r="B7" s="4">
        <v>111.10839741890717</v>
      </c>
      <c r="E7" s="13" t="s">
        <v>120</v>
      </c>
      <c r="F7" s="12">
        <v>0.9997802431439371</v>
      </c>
    </row>
    <row r="8" spans="1:10">
      <c r="A8" s="3">
        <v>56</v>
      </c>
      <c r="B8" s="4">
        <v>125.00575362832333</v>
      </c>
      <c r="E8" s="13" t="s">
        <v>121</v>
      </c>
      <c r="F8" s="12">
        <v>0.9997619300725985</v>
      </c>
    </row>
    <row r="9" spans="1:10">
      <c r="A9" s="3">
        <v>63</v>
      </c>
      <c r="B9" s="4">
        <v>137.23437698030543</v>
      </c>
      <c r="E9" s="13" t="s">
        <v>122</v>
      </c>
      <c r="F9" s="12">
        <v>0.90533341706852855</v>
      </c>
    </row>
    <row r="10" spans="1:10">
      <c r="A10" s="3">
        <v>70</v>
      </c>
      <c r="B10" s="4">
        <v>152.63408597490016</v>
      </c>
      <c r="E10" s="16" t="s">
        <v>123</v>
      </c>
      <c r="F10" s="17">
        <v>14</v>
      </c>
    </row>
    <row r="11" spans="1:10">
      <c r="A11" s="3">
        <v>77</v>
      </c>
      <c r="B11" s="4">
        <v>165.14728318618077</v>
      </c>
    </row>
    <row r="12" spans="1:10">
      <c r="A12" s="3">
        <v>84</v>
      </c>
      <c r="B12" s="4">
        <v>181.40184976271519</v>
      </c>
      <c r="E12" s="13" t="s">
        <v>124</v>
      </c>
    </row>
    <row r="13" spans="1:10" ht="15" customHeight="1">
      <c r="A13" s="3">
        <v>91</v>
      </c>
      <c r="B13" s="4">
        <v>195.77739483120982</v>
      </c>
      <c r="E13" s="15"/>
      <c r="F13" s="14" t="s">
        <v>125</v>
      </c>
      <c r="G13" s="14" t="s">
        <v>126</v>
      </c>
      <c r="H13" s="14" t="s">
        <v>127</v>
      </c>
      <c r="I13" s="14" t="s">
        <v>128</v>
      </c>
      <c r="J13" s="14" t="s">
        <v>129</v>
      </c>
    </row>
    <row r="14" spans="1:10">
      <c r="A14" s="3">
        <v>98</v>
      </c>
      <c r="B14" s="4">
        <v>209.03159749202345</v>
      </c>
      <c r="E14" s="13" t="s">
        <v>130</v>
      </c>
      <c r="F14" s="12">
        <v>1</v>
      </c>
      <c r="G14" s="12">
        <v>44746.643635431537</v>
      </c>
      <c r="H14" s="12">
        <v>44746.643635431537</v>
      </c>
      <c r="I14" s="12">
        <v>54593.804865371611</v>
      </c>
      <c r="J14" s="12">
        <v>0</v>
      </c>
    </row>
    <row r="15" spans="1:10">
      <c r="A15" s="3">
        <v>105</v>
      </c>
      <c r="B15" s="4">
        <v>222.48814155029871</v>
      </c>
      <c r="E15" s="13" t="s">
        <v>131</v>
      </c>
      <c r="F15" s="12">
        <v>12</v>
      </c>
      <c r="G15" s="12">
        <v>9.8355431527317396</v>
      </c>
      <c r="H15" s="12">
        <v>0.81962859606097827</v>
      </c>
    </row>
    <row r="16" spans="1:10">
      <c r="E16" s="16" t="s">
        <v>132</v>
      </c>
      <c r="F16" s="17">
        <v>13</v>
      </c>
      <c r="G16" s="17">
        <v>44756.479178584268</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12.334683080954278</v>
      </c>
      <c r="G19" s="12">
        <v>0.5646632011875482</v>
      </c>
      <c r="H19" s="12">
        <v>21.844318976361656</v>
      </c>
      <c r="I19" s="12">
        <v>4.9685995010426017E-11</v>
      </c>
      <c r="J19" s="12">
        <v>11.104387670170633</v>
      </c>
      <c r="K19" s="12">
        <v>13.564978491737923</v>
      </c>
      <c r="L19" s="12">
        <v>11.104387670170633</v>
      </c>
      <c r="M19" s="12">
        <v>13.564978491737923</v>
      </c>
    </row>
    <row r="20" spans="5:13">
      <c r="E20" s="19" t="s">
        <v>104</v>
      </c>
      <c r="F20" s="17">
        <v>2.0035098969540375</v>
      </c>
      <c r="G20" s="17">
        <v>8.574717297188757E-3</v>
      </c>
      <c r="H20" s="17">
        <v>233.6531721705733</v>
      </c>
      <c r="I20" s="17">
        <v>2.541016758075619E-23</v>
      </c>
      <c r="J20" s="17">
        <v>1.9848271931452681</v>
      </c>
      <c r="K20" s="17">
        <v>2.0221926007628066</v>
      </c>
      <c r="L20" s="17">
        <v>1.9848271931452681</v>
      </c>
      <c r="M20" s="17">
        <v>2.0221926007628066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26.738202272928351</v>
      </c>
    </row>
    <row r="2" spans="1:10">
      <c r="A2" s="3">
        <v>14</v>
      </c>
      <c r="B2" s="4">
        <v>40.11660575456601</v>
      </c>
    </row>
    <row r="3" spans="1:10">
      <c r="A3" s="3">
        <v>21</v>
      </c>
      <c r="B3" s="4">
        <v>53.29278075751192</v>
      </c>
      <c r="E3" s="13" t="s">
        <v>117</v>
      </c>
    </row>
    <row r="4" spans="1:10">
      <c r="A4" s="3">
        <v>28</v>
      </c>
      <c r="B4" s="4">
        <v>68.904715515540587</v>
      </c>
    </row>
    <row r="5" spans="1:10" ht="15" customHeight="1">
      <c r="A5" s="3">
        <v>35</v>
      </c>
      <c r="B5" s="4">
        <v>83.57870134074571</v>
      </c>
      <c r="E5" s="14" t="s">
        <v>118</v>
      </c>
      <c r="F5" s="15"/>
    </row>
    <row r="6" spans="1:10">
      <c r="A6" s="3">
        <v>42</v>
      </c>
      <c r="B6" s="4">
        <v>95.064200610871225</v>
      </c>
      <c r="E6" s="13" t="s">
        <v>119</v>
      </c>
      <c r="F6" s="12">
        <v>0.99987808549341517</v>
      </c>
    </row>
    <row r="7" spans="1:10">
      <c r="A7" s="3">
        <v>49</v>
      </c>
      <c r="B7" s="4">
        <v>111.79534798734171</v>
      </c>
      <c r="E7" s="13" t="s">
        <v>120</v>
      </c>
      <c r="F7" s="12">
        <v>0.99975618584997727</v>
      </c>
    </row>
    <row r="8" spans="1:10">
      <c r="A8" s="3">
        <v>56</v>
      </c>
      <c r="B8" s="4">
        <v>125.52014230707167</v>
      </c>
      <c r="E8" s="13" t="s">
        <v>121</v>
      </c>
      <c r="F8" s="12">
        <v>0.99973586800414205</v>
      </c>
    </row>
    <row r="9" spans="1:10">
      <c r="A9" s="3">
        <v>63</v>
      </c>
      <c r="B9" s="4">
        <v>138.84519274851172</v>
      </c>
      <c r="E9" s="13" t="s">
        <v>122</v>
      </c>
      <c r="F9" s="12">
        <v>0.95263701037159454</v>
      </c>
    </row>
    <row r="10" spans="1:10">
      <c r="A10" s="3">
        <v>70</v>
      </c>
      <c r="B10" s="4">
        <v>151.585954733459</v>
      </c>
      <c r="E10" s="16" t="s">
        <v>123</v>
      </c>
      <c r="F10" s="17">
        <v>14</v>
      </c>
    </row>
    <row r="11" spans="1:10">
      <c r="A11" s="3">
        <v>77</v>
      </c>
      <c r="B11" s="4">
        <v>167.72586263184539</v>
      </c>
    </row>
    <row r="12" spans="1:10">
      <c r="A12" s="3">
        <v>84</v>
      </c>
      <c r="B12" s="4">
        <v>179.93689426576805</v>
      </c>
      <c r="E12" s="13" t="s">
        <v>124</v>
      </c>
    </row>
    <row r="13" spans="1:10" ht="15" customHeight="1">
      <c r="A13" s="3">
        <v>91</v>
      </c>
      <c r="B13" s="4">
        <v>194.94126945602849</v>
      </c>
      <c r="E13" s="15"/>
      <c r="F13" s="14" t="s">
        <v>125</v>
      </c>
      <c r="G13" s="14" t="s">
        <v>126</v>
      </c>
      <c r="H13" s="14" t="s">
        <v>127</v>
      </c>
      <c r="I13" s="14" t="s">
        <v>128</v>
      </c>
      <c r="J13" s="14" t="s">
        <v>129</v>
      </c>
    </row>
    <row r="14" spans="1:10">
      <c r="A14" s="3">
        <v>98</v>
      </c>
      <c r="B14" s="4">
        <v>208.26970011830059</v>
      </c>
      <c r="E14" s="13" t="s">
        <v>130</v>
      </c>
      <c r="F14" s="12">
        <v>1</v>
      </c>
      <c r="G14" s="12">
        <v>44655.128074839144</v>
      </c>
      <c r="H14" s="12">
        <v>44655.128074839144</v>
      </c>
      <c r="I14" s="12">
        <v>49205.816106569437</v>
      </c>
      <c r="J14" s="12">
        <v>0</v>
      </c>
    </row>
    <row r="15" spans="1:10">
      <c r="A15" s="3">
        <v>105</v>
      </c>
      <c r="B15" s="4">
        <v>222.04450407875765</v>
      </c>
      <c r="E15" s="13" t="s">
        <v>131</v>
      </c>
      <c r="F15" s="12">
        <v>12</v>
      </c>
      <c r="G15" s="12">
        <v>10.890207282356753</v>
      </c>
      <c r="H15" s="12">
        <v>0.90751727352972944</v>
      </c>
    </row>
    <row r="16" spans="1:10">
      <c r="E16" s="16" t="s">
        <v>132</v>
      </c>
      <c r="F16" s="17">
        <v>13</v>
      </c>
      <c r="G16" s="17">
        <v>44666.018282121498</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12.457545566467388</v>
      </c>
      <c r="G19" s="12">
        <v>0.59416680496335061</v>
      </c>
      <c r="H19" s="12">
        <v>20.966411220559174</v>
      </c>
      <c r="I19" s="12">
        <v>8.0340811508693989E-11</v>
      </c>
      <c r="J19" s="12">
        <v>11.162967326112753</v>
      </c>
      <c r="K19" s="12">
        <v>13.752123806822024</v>
      </c>
      <c r="L19" s="12">
        <v>11.162967326112753</v>
      </c>
      <c r="M19" s="12">
        <v>13.752123806822024</v>
      </c>
    </row>
    <row r="20" spans="5:13">
      <c r="E20" s="19" t="s">
        <v>104</v>
      </c>
      <c r="F20" s="17">
        <v>2.0014600652770422</v>
      </c>
      <c r="G20" s="17">
        <v>9.0227455396768835E-3</v>
      </c>
      <c r="H20" s="17">
        <v>221.82384025746526</v>
      </c>
      <c r="I20" s="17">
        <v>4.7392634248750287E-23</v>
      </c>
      <c r="J20" s="17">
        <v>1.9818011917985028</v>
      </c>
      <c r="K20" s="17">
        <v>2.0211189387555817</v>
      </c>
      <c r="L20" s="17">
        <v>1.9818011917985028</v>
      </c>
      <c r="M20" s="17">
        <v>2.0211189387555817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25.462728154593233</v>
      </c>
    </row>
    <row r="2" spans="1:10">
      <c r="A2" s="3">
        <v>14</v>
      </c>
      <c r="B2" s="4">
        <v>41.430079452508039</v>
      </c>
    </row>
    <row r="3" spans="1:10">
      <c r="A3" s="3">
        <v>21</v>
      </c>
      <c r="B3" s="4">
        <v>55.883947043172235</v>
      </c>
      <c r="E3" s="13" t="s">
        <v>117</v>
      </c>
    </row>
    <row r="4" spans="1:10">
      <c r="A4" s="3">
        <v>28</v>
      </c>
      <c r="B4" s="4">
        <v>69.40423901257229</v>
      </c>
    </row>
    <row r="5" spans="1:10" ht="15" customHeight="1">
      <c r="A5" s="3">
        <v>35</v>
      </c>
      <c r="B5" s="4">
        <v>82.73342403391743</v>
      </c>
      <c r="E5" s="14" t="s">
        <v>118</v>
      </c>
      <c r="F5" s="15"/>
    </row>
    <row r="6" spans="1:10">
      <c r="A6" s="3">
        <v>42</v>
      </c>
      <c r="B6" s="4">
        <v>95.379430974847565</v>
      </c>
      <c r="E6" s="13" t="s">
        <v>119</v>
      </c>
      <c r="F6" s="12">
        <v>0.99987486334048958</v>
      </c>
    </row>
    <row r="7" spans="1:10">
      <c r="A7" s="3">
        <v>49</v>
      </c>
      <c r="B7" s="4">
        <v>109.95243553038424</v>
      </c>
      <c r="E7" s="13" t="s">
        <v>120</v>
      </c>
      <c r="F7" s="12">
        <v>0.99974974234016278</v>
      </c>
    </row>
    <row r="8" spans="1:10">
      <c r="A8" s="3">
        <v>56</v>
      </c>
      <c r="B8" s="4">
        <v>125.76268058294541</v>
      </c>
      <c r="E8" s="13" t="s">
        <v>121</v>
      </c>
      <c r="F8" s="12">
        <v>0.99972888753517641</v>
      </c>
    </row>
    <row r="9" spans="1:10">
      <c r="A9" s="3">
        <v>63</v>
      </c>
      <c r="B9" s="4">
        <v>137.28309486689702</v>
      </c>
      <c r="E9" s="13" t="s">
        <v>122</v>
      </c>
      <c r="F9" s="12">
        <v>0.96411759184201273</v>
      </c>
    </row>
    <row r="10" spans="1:10">
      <c r="A10" s="3">
        <v>70</v>
      </c>
      <c r="B10" s="4">
        <v>152.73747618722172</v>
      </c>
      <c r="E10" s="16" t="s">
        <v>123</v>
      </c>
      <c r="F10" s="17">
        <v>14</v>
      </c>
    </row>
    <row r="11" spans="1:10">
      <c r="A11" s="3">
        <v>77</v>
      </c>
      <c r="B11" s="4">
        <v>165.52039842699918</v>
      </c>
    </row>
    <row r="12" spans="1:10">
      <c r="A12" s="3">
        <v>84</v>
      </c>
      <c r="B12" s="4">
        <v>181.67491716445377</v>
      </c>
      <c r="E12" s="13" t="s">
        <v>124</v>
      </c>
    </row>
    <row r="13" spans="1:10" ht="15" customHeight="1">
      <c r="A13" s="3">
        <v>91</v>
      </c>
      <c r="B13" s="4">
        <v>194.86284818366858</v>
      </c>
      <c r="E13" s="15"/>
      <c r="F13" s="14" t="s">
        <v>125</v>
      </c>
      <c r="G13" s="14" t="s">
        <v>126</v>
      </c>
      <c r="H13" s="14" t="s">
        <v>127</v>
      </c>
      <c r="I13" s="14" t="s">
        <v>128</v>
      </c>
      <c r="J13" s="14" t="s">
        <v>129</v>
      </c>
    </row>
    <row r="14" spans="1:10">
      <c r="A14" s="3">
        <v>98</v>
      </c>
      <c r="B14" s="4">
        <v>209.35225497205235</v>
      </c>
      <c r="E14" s="13" t="s">
        <v>130</v>
      </c>
      <c r="F14" s="12">
        <v>1</v>
      </c>
      <c r="G14" s="12">
        <v>44560.00002495337</v>
      </c>
      <c r="H14" s="12">
        <v>44560.00002495337</v>
      </c>
      <c r="I14" s="12">
        <v>47938.580245202815</v>
      </c>
      <c r="J14" s="12">
        <v>0</v>
      </c>
    </row>
    <row r="15" spans="1:10">
      <c r="A15" s="3">
        <v>105</v>
      </c>
      <c r="B15" s="4">
        <v>223.53831706062792</v>
      </c>
      <c r="E15" s="13" t="s">
        <v>131</v>
      </c>
      <c r="F15" s="12">
        <v>12</v>
      </c>
      <c r="G15" s="12">
        <v>11.154272770790902</v>
      </c>
      <c r="H15" s="12">
        <v>0.92952273089924187</v>
      </c>
    </row>
    <row r="16" spans="1:10">
      <c r="E16" s="16" t="s">
        <v>132</v>
      </c>
      <c r="F16" s="17">
        <v>13</v>
      </c>
      <c r="G16" s="17">
        <v>44571.154297724162</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12.862576920255037</v>
      </c>
      <c r="G19" s="12">
        <v>0.60132732921039722</v>
      </c>
      <c r="H19" s="12">
        <v>21.3903082321984</v>
      </c>
      <c r="I19" s="12">
        <v>6.3554443374068808E-11</v>
      </c>
      <c r="J19" s="12">
        <v>11.552397238011824</v>
      </c>
      <c r="K19" s="12">
        <v>14.17275660249825</v>
      </c>
      <c r="L19" s="12">
        <v>11.552397238011824</v>
      </c>
      <c r="M19" s="12">
        <v>14.17275660249825</v>
      </c>
    </row>
    <row r="20" spans="5:13">
      <c r="E20" s="19" t="s">
        <v>104</v>
      </c>
      <c r="F20" s="17">
        <v>1.9993270907667444</v>
      </c>
      <c r="G20" s="17">
        <v>9.1314819882164031E-3</v>
      </c>
      <c r="H20" s="17">
        <v>218.94880736191001</v>
      </c>
      <c r="I20" s="17">
        <v>5.5422087905086987E-23</v>
      </c>
      <c r="J20" s="17">
        <v>1.9794313009222337</v>
      </c>
      <c r="K20" s="17">
        <v>2.0192228806112551</v>
      </c>
      <c r="L20" s="17">
        <v>1.9794313009222337</v>
      </c>
      <c r="M20" s="17">
        <v>2.0192228806112551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27.505591256946634</v>
      </c>
    </row>
    <row r="2" spans="1:10">
      <c r="A2" s="3">
        <v>14</v>
      </c>
      <c r="B2" s="4">
        <v>40.55858116664043</v>
      </c>
    </row>
    <row r="3" spans="1:10">
      <c r="A3" s="3">
        <v>21</v>
      </c>
      <c r="B3" s="4">
        <v>55.498379532468284</v>
      </c>
      <c r="E3" s="13" t="s">
        <v>117</v>
      </c>
    </row>
    <row r="4" spans="1:10">
      <c r="A4" s="3">
        <v>28</v>
      </c>
      <c r="B4" s="4">
        <v>69.538950820047049</v>
      </c>
    </row>
    <row r="5" spans="1:10" ht="15" customHeight="1">
      <c r="A5" s="3">
        <v>35</v>
      </c>
      <c r="B5" s="4">
        <v>82.048510301349026</v>
      </c>
      <c r="E5" s="14" t="s">
        <v>118</v>
      </c>
      <c r="F5" s="15"/>
    </row>
    <row r="6" spans="1:10">
      <c r="A6" s="3">
        <v>42</v>
      </c>
      <c r="B6" s="4">
        <v>97.008690031151147</v>
      </c>
      <c r="E6" s="13" t="s">
        <v>119</v>
      </c>
      <c r="F6" s="12">
        <v>0.99991553075187012</v>
      </c>
    </row>
    <row r="7" spans="1:10">
      <c r="A7" s="3">
        <v>49</v>
      </c>
      <c r="B7" s="4">
        <v>110.02414162767981</v>
      </c>
      <c r="E7" s="13" t="s">
        <v>120</v>
      </c>
      <c r="F7" s="12">
        <v>0.99983106863879412</v>
      </c>
    </row>
    <row r="8" spans="1:10">
      <c r="A8" s="3">
        <v>56</v>
      </c>
      <c r="B8" s="4">
        <v>125.53342196890426</v>
      </c>
      <c r="E8" s="13" t="s">
        <v>121</v>
      </c>
      <c r="F8" s="12">
        <v>0.99981699102536026</v>
      </c>
    </row>
    <row r="9" spans="1:10">
      <c r="A9" s="3">
        <v>63</v>
      </c>
      <c r="B9" s="4">
        <v>138.29207054875087</v>
      </c>
      <c r="E9" s="13" t="s">
        <v>122</v>
      </c>
      <c r="F9" s="12">
        <v>0.78871390764206417</v>
      </c>
    </row>
    <row r="10" spans="1:10">
      <c r="A10" s="3">
        <v>70</v>
      </c>
      <c r="B10" s="4">
        <v>151.27247559276867</v>
      </c>
      <c r="E10" s="16" t="s">
        <v>123</v>
      </c>
      <c r="F10" s="17">
        <v>14</v>
      </c>
    </row>
    <row r="11" spans="1:10">
      <c r="A11" s="3">
        <v>77</v>
      </c>
      <c r="B11" s="4">
        <v>165.48232326803972</v>
      </c>
    </row>
    <row r="12" spans="1:10">
      <c r="A12" s="3">
        <v>84</v>
      </c>
      <c r="B12" s="4">
        <v>180.30213688529301</v>
      </c>
      <c r="E12" s="13" t="s">
        <v>124</v>
      </c>
    </row>
    <row r="13" spans="1:10" ht="15" customHeight="1">
      <c r="A13" s="3">
        <v>91</v>
      </c>
      <c r="B13" s="4">
        <v>193.31877491572436</v>
      </c>
      <c r="E13" s="15"/>
      <c r="F13" s="14" t="s">
        <v>125</v>
      </c>
      <c r="G13" s="14" t="s">
        <v>126</v>
      </c>
      <c r="H13" s="14" t="s">
        <v>127</v>
      </c>
      <c r="I13" s="14" t="s">
        <v>128</v>
      </c>
      <c r="J13" s="14" t="s">
        <v>129</v>
      </c>
    </row>
    <row r="14" spans="1:10">
      <c r="A14" s="3">
        <v>98</v>
      </c>
      <c r="B14" s="4">
        <v>209.15002541121217</v>
      </c>
      <c r="E14" s="13" t="s">
        <v>130</v>
      </c>
      <c r="F14" s="12">
        <v>1</v>
      </c>
      <c r="G14" s="12">
        <v>44181.106688470412</v>
      </c>
      <c r="H14" s="12">
        <v>44181.106688470412</v>
      </c>
      <c r="I14" s="12">
        <v>71022.767696993105</v>
      </c>
      <c r="J14" s="12">
        <v>0</v>
      </c>
    </row>
    <row r="15" spans="1:10">
      <c r="A15" s="3">
        <v>105</v>
      </c>
      <c r="B15" s="4">
        <v>222.85799232613721</v>
      </c>
      <c r="E15" s="13" t="s">
        <v>131</v>
      </c>
      <c r="F15" s="12">
        <v>12</v>
      </c>
      <c r="G15" s="12">
        <v>7.4648355372961746</v>
      </c>
      <c r="H15" s="12">
        <v>0.62206962810801458</v>
      </c>
    </row>
    <row r="16" spans="1:10">
      <c r="E16" s="16" t="s">
        <v>132</v>
      </c>
      <c r="F16" s="17">
        <v>13</v>
      </c>
      <c r="G16" s="17">
        <v>44188.571524007712</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13.038766655864379</v>
      </c>
      <c r="G19" s="12">
        <v>0.49192674379829859</v>
      </c>
      <c r="H19" s="12">
        <v>26.50550477330945</v>
      </c>
      <c r="I19" s="12">
        <v>5.0978019628686029E-12</v>
      </c>
      <c r="J19" s="12">
        <v>11.966950369511816</v>
      </c>
      <c r="K19" s="12">
        <v>14.110582942216942</v>
      </c>
      <c r="L19" s="12">
        <v>11.966950369511816</v>
      </c>
      <c r="M19" s="12">
        <v>14.110582942216942</v>
      </c>
    </row>
    <row r="20" spans="5:13">
      <c r="E20" s="19" t="s">
        <v>104</v>
      </c>
      <c r="F20" s="17">
        <v>1.9908088129820705</v>
      </c>
      <c r="G20" s="17">
        <v>7.4701746990521439E-3</v>
      </c>
      <c r="H20" s="17">
        <v>266.50097128714742</v>
      </c>
      <c r="I20" s="17">
        <v>5.2433054358622674E-24</v>
      </c>
      <c r="J20" s="17">
        <v>1.9745327007249458</v>
      </c>
      <c r="K20" s="17">
        <v>2.0070849252391953</v>
      </c>
      <c r="L20" s="17">
        <v>1.9745327007249458</v>
      </c>
      <c r="M20" s="17">
        <v>2.0070849252391953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27.506324893901521</v>
      </c>
    </row>
    <row r="2" spans="1:10">
      <c r="A2" s="3">
        <v>14</v>
      </c>
      <c r="B2" s="4">
        <v>41.577126611904077</v>
      </c>
    </row>
    <row r="3" spans="1:10">
      <c r="A3" s="3">
        <v>21</v>
      </c>
      <c r="B3" s="4">
        <v>54.004354662940351</v>
      </c>
      <c r="E3" s="13" t="s">
        <v>117</v>
      </c>
    </row>
    <row r="4" spans="1:10">
      <c r="A4" s="3">
        <v>28</v>
      </c>
      <c r="B4" s="4">
        <v>68.756564270676577</v>
      </c>
    </row>
    <row r="5" spans="1:10" ht="15" customHeight="1">
      <c r="A5" s="3">
        <v>35</v>
      </c>
      <c r="B5" s="4">
        <v>82.295976099584777</v>
      </c>
      <c r="E5" s="14" t="s">
        <v>118</v>
      </c>
      <c r="F5" s="15"/>
    </row>
    <row r="6" spans="1:10">
      <c r="A6" s="3">
        <v>42</v>
      </c>
      <c r="B6" s="4">
        <v>97.014179346113195</v>
      </c>
      <c r="E6" s="13" t="s">
        <v>119</v>
      </c>
      <c r="F6" s="12">
        <v>0.99989562941435761</v>
      </c>
    </row>
    <row r="7" spans="1:10">
      <c r="A7" s="3">
        <v>49</v>
      </c>
      <c r="B7" s="4">
        <v>111.38658634845537</v>
      </c>
      <c r="E7" s="13" t="s">
        <v>120</v>
      </c>
      <c r="F7" s="12">
        <v>0.99979126972193433</v>
      </c>
    </row>
    <row r="8" spans="1:10">
      <c r="A8" s="3">
        <v>56</v>
      </c>
      <c r="B8" s="4">
        <v>123.16541117401242</v>
      </c>
      <c r="E8" s="13" t="s">
        <v>121</v>
      </c>
      <c r="F8" s="12">
        <v>0.99977387553209551</v>
      </c>
    </row>
    <row r="9" spans="1:10">
      <c r="A9" s="3">
        <v>63</v>
      </c>
      <c r="B9" s="4">
        <v>137.3399594114162</v>
      </c>
      <c r="E9" s="13" t="s">
        <v>122</v>
      </c>
      <c r="F9" s="12">
        <v>0.88139506011652946</v>
      </c>
    </row>
    <row r="10" spans="1:10">
      <c r="A10" s="3">
        <v>70</v>
      </c>
      <c r="B10" s="4">
        <v>151.80702550218865</v>
      </c>
      <c r="E10" s="16" t="s">
        <v>123</v>
      </c>
      <c r="F10" s="17">
        <v>14</v>
      </c>
    </row>
    <row r="11" spans="1:10">
      <c r="A11" s="3">
        <v>77</v>
      </c>
      <c r="B11" s="4">
        <v>167.01495226365958</v>
      </c>
    </row>
    <row r="12" spans="1:10">
      <c r="A12" s="3">
        <v>84</v>
      </c>
      <c r="B12" s="4">
        <v>181.15229947576535</v>
      </c>
      <c r="E12" s="13" t="s">
        <v>124</v>
      </c>
    </row>
    <row r="13" spans="1:10" ht="15" customHeight="1">
      <c r="A13" s="3">
        <v>91</v>
      </c>
      <c r="B13" s="4">
        <v>195.45410186059371</v>
      </c>
      <c r="E13" s="15"/>
      <c r="F13" s="14" t="s">
        <v>125</v>
      </c>
      <c r="G13" s="14" t="s">
        <v>126</v>
      </c>
      <c r="H13" s="14" t="s">
        <v>127</v>
      </c>
      <c r="I13" s="14" t="s">
        <v>128</v>
      </c>
      <c r="J13" s="14" t="s">
        <v>129</v>
      </c>
    </row>
    <row r="14" spans="1:10">
      <c r="A14" s="3">
        <v>98</v>
      </c>
      <c r="B14" s="4">
        <v>209.68150369428599</v>
      </c>
      <c r="E14" s="13" t="s">
        <v>130</v>
      </c>
      <c r="F14" s="12">
        <v>1</v>
      </c>
      <c r="G14" s="12">
        <v>44652.559594061102</v>
      </c>
      <c r="H14" s="12">
        <v>44652.559594061102</v>
      </c>
      <c r="I14" s="12">
        <v>57478.461428054441</v>
      </c>
      <c r="J14" s="12">
        <v>0</v>
      </c>
    </row>
    <row r="15" spans="1:10">
      <c r="A15" s="3">
        <v>105</v>
      </c>
      <c r="B15" s="4">
        <v>221.90839619813102</v>
      </c>
      <c r="E15" s="13" t="s">
        <v>131</v>
      </c>
      <c r="F15" s="12">
        <v>12</v>
      </c>
      <c r="G15" s="12">
        <v>9.322287023973848</v>
      </c>
      <c r="H15" s="12">
        <v>0.77685725199782063</v>
      </c>
    </row>
    <row r="16" spans="1:10">
      <c r="E16" s="16" t="s">
        <v>132</v>
      </c>
      <c r="F16" s="17">
        <v>13</v>
      </c>
      <c r="G16" s="17">
        <v>44661.881881085079</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12.527867917004414</v>
      </c>
      <c r="G19" s="12">
        <v>0.54973266950403388</v>
      </c>
      <c r="H19" s="12">
        <v>22.789018393807659</v>
      </c>
      <c r="I19" s="12">
        <v>3.0228295960588683E-11</v>
      </c>
      <c r="J19" s="12">
        <v>11.330103339772798</v>
      </c>
      <c r="K19" s="12">
        <v>13.725632494236031</v>
      </c>
      <c r="L19" s="12">
        <v>11.330103339772798</v>
      </c>
      <c r="M19" s="12">
        <v>13.725632494236031</v>
      </c>
    </row>
    <row r="20" spans="5:13">
      <c r="E20" s="19" t="s">
        <v>104</v>
      </c>
      <c r="F20" s="17">
        <v>2.001402504299719</v>
      </c>
      <c r="G20" s="17">
        <v>8.3479890669559305E-3</v>
      </c>
      <c r="H20" s="17">
        <v>239.74666093202305</v>
      </c>
      <c r="I20" s="17">
        <v>1.8657935483733684E-23</v>
      </c>
      <c r="J20" s="17">
        <v>1.9832137988612417</v>
      </c>
      <c r="K20" s="17">
        <v>2.0195912097381963</v>
      </c>
      <c r="L20" s="17">
        <v>1.9832137988612417</v>
      </c>
      <c r="M20" s="17">
        <v>2.0195912097381963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25.113937541631135</v>
      </c>
    </row>
    <row r="2" spans="1:10">
      <c r="A2" s="3">
        <v>14</v>
      </c>
      <c r="B2" s="4">
        <v>40.253010840841192</v>
      </c>
    </row>
    <row r="3" spans="1:10">
      <c r="A3" s="3">
        <v>21</v>
      </c>
      <c r="B3" s="4">
        <v>53.056406638331694</v>
      </c>
      <c r="E3" s="13" t="s">
        <v>117</v>
      </c>
    </row>
    <row r="4" spans="1:10">
      <c r="A4" s="3">
        <v>28</v>
      </c>
      <c r="B4" s="4">
        <v>68.725560230861632</v>
      </c>
    </row>
    <row r="5" spans="1:10" ht="15" customHeight="1">
      <c r="A5" s="3">
        <v>35</v>
      </c>
      <c r="B5" s="4">
        <v>81.437914239036701</v>
      </c>
      <c r="E5" s="14" t="s">
        <v>118</v>
      </c>
      <c r="F5" s="15"/>
    </row>
    <row r="6" spans="1:10">
      <c r="A6" s="3">
        <v>42</v>
      </c>
      <c r="B6" s="4">
        <v>96.501419994700584</v>
      </c>
      <c r="E6" s="13" t="s">
        <v>119</v>
      </c>
      <c r="F6" s="12">
        <v>0.99989146615190816</v>
      </c>
    </row>
    <row r="7" spans="1:10">
      <c r="A7" s="3">
        <v>49</v>
      </c>
      <c r="B7" s="4">
        <v>111.50147092076634</v>
      </c>
      <c r="E7" s="13" t="s">
        <v>120</v>
      </c>
      <c r="F7" s="12">
        <v>0.99978294408341239</v>
      </c>
    </row>
    <row r="8" spans="1:10">
      <c r="A8" s="3">
        <v>56</v>
      </c>
      <c r="B8" s="4">
        <v>124.60993578748936</v>
      </c>
      <c r="E8" s="13" t="s">
        <v>121</v>
      </c>
      <c r="F8" s="12">
        <v>0.99976485609036336</v>
      </c>
    </row>
    <row r="9" spans="1:10">
      <c r="A9" s="3">
        <v>63</v>
      </c>
      <c r="B9" s="4">
        <v>137.69131011264861</v>
      </c>
      <c r="E9" s="13" t="s">
        <v>122</v>
      </c>
      <c r="F9" s="12">
        <v>0.90051232343096332</v>
      </c>
    </row>
    <row r="10" spans="1:10">
      <c r="A10" s="3">
        <v>70</v>
      </c>
      <c r="B10" s="4">
        <v>153.09084044141059</v>
      </c>
      <c r="E10" s="16" t="s">
        <v>123</v>
      </c>
      <c r="F10" s="17">
        <v>14</v>
      </c>
    </row>
    <row r="11" spans="1:10">
      <c r="A11" s="3">
        <v>77</v>
      </c>
      <c r="B11" s="4">
        <v>165.24742959379643</v>
      </c>
    </row>
    <row r="12" spans="1:10">
      <c r="A12" s="3">
        <v>84</v>
      </c>
      <c r="B12" s="4">
        <v>179.09196029231555</v>
      </c>
      <c r="E12" s="13" t="s">
        <v>124</v>
      </c>
    </row>
    <row r="13" spans="1:10" ht="15" customHeight="1">
      <c r="A13" s="3">
        <v>91</v>
      </c>
      <c r="B13" s="4">
        <v>194.69926185239592</v>
      </c>
      <c r="E13" s="15"/>
      <c r="F13" s="14" t="s">
        <v>125</v>
      </c>
      <c r="G13" s="14" t="s">
        <v>126</v>
      </c>
      <c r="H13" s="14" t="s">
        <v>127</v>
      </c>
      <c r="I13" s="14" t="s">
        <v>128</v>
      </c>
      <c r="J13" s="14" t="s">
        <v>129</v>
      </c>
    </row>
    <row r="14" spans="1:10">
      <c r="A14" s="3">
        <v>98</v>
      </c>
      <c r="B14" s="4">
        <v>207.81729840504352</v>
      </c>
      <c r="E14" s="13" t="s">
        <v>130</v>
      </c>
      <c r="F14" s="12">
        <v>1</v>
      </c>
      <c r="G14" s="12">
        <v>44822.354085478451</v>
      </c>
      <c r="H14" s="12">
        <v>44822.354085478451</v>
      </c>
      <c r="I14" s="12">
        <v>55273.293249106049</v>
      </c>
      <c r="J14" s="12">
        <v>0</v>
      </c>
    </row>
    <row r="15" spans="1:10">
      <c r="A15" s="3">
        <v>105</v>
      </c>
      <c r="B15" s="4">
        <v>223.73640917084751</v>
      </c>
      <c r="E15" s="13" t="s">
        <v>131</v>
      </c>
      <c r="F15" s="12">
        <v>12</v>
      </c>
      <c r="G15" s="12">
        <v>9.7310693358123821</v>
      </c>
      <c r="H15" s="12">
        <v>0.8109224446510318</v>
      </c>
    </row>
    <row r="16" spans="1:10">
      <c r="E16" s="16" t="s">
        <v>132</v>
      </c>
      <c r="F16" s="17">
        <v>13</v>
      </c>
      <c r="G16" s="17">
        <v>44832.085154814267</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11.93751341657844</v>
      </c>
      <c r="G19" s="12">
        <v>0.56165624914613643</v>
      </c>
      <c r="H19" s="12">
        <v>21.254127297126249</v>
      </c>
      <c r="I19" s="12">
        <v>6.8491406684958847E-11</v>
      </c>
      <c r="J19" s="12">
        <v>10.713769591393458</v>
      </c>
      <c r="K19" s="12">
        <v>13.161257241763423</v>
      </c>
      <c r="L19" s="12">
        <v>10.713769591393458</v>
      </c>
      <c r="M19" s="12">
        <v>13.161257241763423</v>
      </c>
    </row>
    <row r="20" spans="5:13">
      <c r="E20" s="19" t="s">
        <v>104</v>
      </c>
      <c r="F20" s="17">
        <v>2.0052041304782566</v>
      </c>
      <c r="G20" s="17">
        <v>8.5290550977978902E-3</v>
      </c>
      <c r="H20" s="17">
        <v>235.10272914006367</v>
      </c>
      <c r="I20" s="17">
        <v>2.3592947313685974E-23</v>
      </c>
      <c r="J20" s="17">
        <v>1.9866209160540245</v>
      </c>
      <c r="K20" s="17">
        <v>2.0237873449024888</v>
      </c>
      <c r="L20" s="17">
        <v>1.9866209160540245</v>
      </c>
      <c r="M20" s="17">
        <v>2.0237873449024888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27.848840997182176</v>
      </c>
    </row>
    <row r="2" spans="1:10">
      <c r="A2" s="3">
        <v>14</v>
      </c>
      <c r="B2" s="4">
        <v>39.12676197228943</v>
      </c>
    </row>
    <row r="3" spans="1:10">
      <c r="A3" s="3">
        <v>21</v>
      </c>
      <c r="B3" s="4">
        <v>54.385940528814388</v>
      </c>
      <c r="E3" s="13" t="s">
        <v>117</v>
      </c>
    </row>
    <row r="4" spans="1:10">
      <c r="A4" s="3">
        <v>28</v>
      </c>
      <c r="B4" s="4">
        <v>67.450951988688942</v>
      </c>
    </row>
    <row r="5" spans="1:10" ht="15" customHeight="1">
      <c r="A5" s="3">
        <v>35</v>
      </c>
      <c r="B5" s="4">
        <v>82.372887155776738</v>
      </c>
      <c r="E5" s="14" t="s">
        <v>118</v>
      </c>
      <c r="F5" s="15"/>
    </row>
    <row r="6" spans="1:10">
      <c r="A6" s="3">
        <v>42</v>
      </c>
      <c r="B6" s="4">
        <v>95.426974295841575</v>
      </c>
      <c r="E6" s="13" t="s">
        <v>119</v>
      </c>
      <c r="F6" s="12">
        <v>0.99994631302234405</v>
      </c>
    </row>
    <row r="7" spans="1:10">
      <c r="A7" s="3">
        <v>49</v>
      </c>
      <c r="B7" s="4">
        <v>110.31828804599238</v>
      </c>
      <c r="E7" s="13" t="s">
        <v>120</v>
      </c>
      <c r="F7" s="12">
        <v>0.99989262892697961</v>
      </c>
    </row>
    <row r="8" spans="1:10">
      <c r="A8" s="3">
        <v>56</v>
      </c>
      <c r="B8" s="4">
        <v>123.50994536836248</v>
      </c>
      <c r="E8" s="13" t="s">
        <v>121</v>
      </c>
      <c r="F8" s="12">
        <v>0.99988368133756134</v>
      </c>
    </row>
    <row r="9" spans="1:10">
      <c r="A9" s="3">
        <v>63</v>
      </c>
      <c r="B9" s="4">
        <v>137.84913155174431</v>
      </c>
      <c r="E9" s="13" t="s">
        <v>122</v>
      </c>
      <c r="F9" s="12">
        <v>0.63659201752027039</v>
      </c>
    </row>
    <row r="10" spans="1:10">
      <c r="A10" s="3">
        <v>70</v>
      </c>
      <c r="B10" s="4">
        <v>151.26934702480781</v>
      </c>
      <c r="E10" s="16" t="s">
        <v>123</v>
      </c>
      <c r="F10" s="17">
        <v>14</v>
      </c>
    </row>
    <row r="11" spans="1:10">
      <c r="A11" s="3">
        <v>77</v>
      </c>
      <c r="B11" s="4">
        <v>166.68792123488967</v>
      </c>
    </row>
    <row r="12" spans="1:10">
      <c r="A12" s="3">
        <v>84</v>
      </c>
      <c r="B12" s="4">
        <v>179.76973877235272</v>
      </c>
      <c r="E12" s="13" t="s">
        <v>124</v>
      </c>
    </row>
    <row r="13" spans="1:10" ht="15" customHeight="1">
      <c r="A13" s="3">
        <v>91</v>
      </c>
      <c r="B13" s="4">
        <v>194.79302298875896</v>
      </c>
      <c r="E13" s="15"/>
      <c r="F13" s="14" t="s">
        <v>125</v>
      </c>
      <c r="G13" s="14" t="s">
        <v>126</v>
      </c>
      <c r="H13" s="14" t="s">
        <v>127</v>
      </c>
      <c r="I13" s="14" t="s">
        <v>128</v>
      </c>
      <c r="J13" s="14" t="s">
        <v>129</v>
      </c>
    </row>
    <row r="14" spans="1:10">
      <c r="A14" s="3">
        <v>98</v>
      </c>
      <c r="B14" s="4">
        <v>209.81080430742901</v>
      </c>
      <c r="E14" s="13" t="s">
        <v>130</v>
      </c>
      <c r="F14" s="12">
        <v>1</v>
      </c>
      <c r="G14" s="12">
        <v>45286.597960828214</v>
      </c>
      <c r="H14" s="12">
        <v>45286.597960828214</v>
      </c>
      <c r="I14" s="12">
        <v>111749.94539590068</v>
      </c>
      <c r="J14" s="12">
        <v>0</v>
      </c>
    </row>
    <row r="15" spans="1:10">
      <c r="A15" s="3">
        <v>105</v>
      </c>
      <c r="B15" s="4">
        <v>222.86037514209366</v>
      </c>
      <c r="E15" s="13" t="s">
        <v>131</v>
      </c>
      <c r="F15" s="12">
        <v>12</v>
      </c>
      <c r="G15" s="12">
        <v>4.8629927612463382</v>
      </c>
      <c r="H15" s="12">
        <v>0.40524939677052818</v>
      </c>
    </row>
    <row r="16" spans="1:10">
      <c r="E16" s="16" t="s">
        <v>132</v>
      </c>
      <c r="F16" s="17">
        <v>13</v>
      </c>
      <c r="G16" s="17">
        <v>45291.460953589463</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11.190653812299729</v>
      </c>
      <c r="G19" s="12">
        <v>0.39704718691083796</v>
      </c>
      <c r="H19" s="12">
        <v>28.184694870568958</v>
      </c>
      <c r="I19" s="12">
        <v>2.465805533280398E-12</v>
      </c>
      <c r="J19" s="12">
        <v>10.325562319010238</v>
      </c>
      <c r="K19" s="12">
        <v>12.05574530558922</v>
      </c>
      <c r="L19" s="12">
        <v>10.325562319010238</v>
      </c>
      <c r="M19" s="12">
        <v>12.05574530558922</v>
      </c>
    </row>
    <row r="20" spans="5:13">
      <c r="E20" s="19" t="s">
        <v>104</v>
      </c>
      <c r="F20" s="17">
        <v>2.0155617491064195</v>
      </c>
      <c r="G20" s="17">
        <v>6.0293771123110622E-3</v>
      </c>
      <c r="H20" s="17">
        <v>334.29021133724609</v>
      </c>
      <c r="I20" s="17">
        <v>3.4566528717082665E-25</v>
      </c>
      <c r="J20" s="17">
        <v>2.0024248650743814</v>
      </c>
      <c r="K20" s="17">
        <v>2.0286986331384576</v>
      </c>
      <c r="L20" s="17">
        <v>2.0024248650743814</v>
      </c>
      <c r="M20" s="17">
        <v>2.0286986331384576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27.418730129361219</v>
      </c>
    </row>
    <row r="2" spans="1:10">
      <c r="A2" s="3">
        <v>14</v>
      </c>
      <c r="B2" s="4">
        <v>39.248970847791853</v>
      </c>
    </row>
    <row r="3" spans="1:10">
      <c r="A3" s="3">
        <v>21</v>
      </c>
      <c r="B3" s="4">
        <v>53.423297702915754</v>
      </c>
      <c r="E3" s="13" t="s">
        <v>117</v>
      </c>
    </row>
    <row r="4" spans="1:10">
      <c r="A4" s="3">
        <v>28</v>
      </c>
      <c r="B4" s="4">
        <v>68.663028202582865</v>
      </c>
    </row>
    <row r="5" spans="1:10" ht="15" customHeight="1">
      <c r="A5" s="3">
        <v>35</v>
      </c>
      <c r="B5" s="4">
        <v>83.303702725288034</v>
      </c>
      <c r="E5" s="14" t="s">
        <v>118</v>
      </c>
      <c r="F5" s="15"/>
    </row>
    <row r="6" spans="1:10">
      <c r="A6" s="3">
        <v>42</v>
      </c>
      <c r="B6" s="4">
        <v>96.600522865242297</v>
      </c>
      <c r="E6" s="13" t="s">
        <v>119</v>
      </c>
      <c r="F6" s="12">
        <v>0.99990256547088152</v>
      </c>
    </row>
    <row r="7" spans="1:10">
      <c r="A7" s="3">
        <v>49</v>
      </c>
      <c r="B7" s="4">
        <v>109.7409987042234</v>
      </c>
      <c r="E7" s="13" t="s">
        <v>120</v>
      </c>
      <c r="F7" s="12">
        <v>0.99980514043525059</v>
      </c>
    </row>
    <row r="8" spans="1:10">
      <c r="A8" s="3">
        <v>56</v>
      </c>
      <c r="B8" s="4">
        <v>125.66076456952918</v>
      </c>
      <c r="E8" s="13" t="s">
        <v>121</v>
      </c>
      <c r="F8" s="12">
        <v>0.99978890213818816</v>
      </c>
    </row>
    <row r="9" spans="1:10">
      <c r="A9" s="3">
        <v>63</v>
      </c>
      <c r="B9" s="4">
        <v>137.47619379452976</v>
      </c>
      <c r="E9" s="13" t="s">
        <v>122</v>
      </c>
      <c r="F9" s="12">
        <v>0.84968461694742448</v>
      </c>
    </row>
    <row r="10" spans="1:10">
      <c r="A10" s="3">
        <v>70</v>
      </c>
      <c r="B10" s="4">
        <v>152.29295746813753</v>
      </c>
      <c r="E10" s="16" t="s">
        <v>123</v>
      </c>
      <c r="F10" s="17">
        <v>14</v>
      </c>
    </row>
    <row r="11" spans="1:10">
      <c r="A11" s="3">
        <v>77</v>
      </c>
      <c r="B11" s="4">
        <v>165.14041379781537</v>
      </c>
    </row>
    <row r="12" spans="1:10">
      <c r="A12" s="3">
        <v>84</v>
      </c>
      <c r="B12" s="4">
        <v>180.46319174517436</v>
      </c>
      <c r="E12" s="13" t="s">
        <v>124</v>
      </c>
    </row>
    <row r="13" spans="1:10" ht="15" customHeight="1">
      <c r="A13" s="3">
        <v>91</v>
      </c>
      <c r="B13" s="4">
        <v>194.69717612824138</v>
      </c>
      <c r="E13" s="15"/>
      <c r="F13" s="14" t="s">
        <v>125</v>
      </c>
      <c r="G13" s="14" t="s">
        <v>126</v>
      </c>
      <c r="H13" s="14" t="s">
        <v>127</v>
      </c>
      <c r="I13" s="14" t="s">
        <v>128</v>
      </c>
      <c r="J13" s="14" t="s">
        <v>129</v>
      </c>
    </row>
    <row r="14" spans="1:10">
      <c r="A14" s="3">
        <v>98</v>
      </c>
      <c r="B14" s="4">
        <v>208.01907188712249</v>
      </c>
      <c r="E14" s="13" t="s">
        <v>130</v>
      </c>
      <c r="F14" s="12">
        <v>1</v>
      </c>
      <c r="G14" s="12">
        <v>44451.906743689717</v>
      </c>
      <c r="H14" s="12">
        <v>44451.906743689717</v>
      </c>
      <c r="I14" s="12">
        <v>61570.812295780961</v>
      </c>
      <c r="J14" s="12">
        <v>0</v>
      </c>
    </row>
    <row r="15" spans="1:10">
      <c r="A15" s="3">
        <v>105</v>
      </c>
      <c r="B15" s="4">
        <v>221.01670288718697</v>
      </c>
      <c r="E15" s="13" t="s">
        <v>131</v>
      </c>
      <c r="F15" s="12">
        <v>12</v>
      </c>
      <c r="G15" s="12">
        <v>8.663567379325098</v>
      </c>
      <c r="H15" s="12">
        <v>0.72196394827709154</v>
      </c>
    </row>
    <row r="16" spans="1:10">
      <c r="E16" s="16" t="s">
        <v>132</v>
      </c>
      <c r="F16" s="17">
        <v>13</v>
      </c>
      <c r="G16" s="17">
        <v>44460.570311069045</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12.30919699338142</v>
      </c>
      <c r="G19" s="12">
        <v>0.52995462970857221</v>
      </c>
      <c r="H19" s="12">
        <v>23.22688830957167</v>
      </c>
      <c r="I19" s="12">
        <v>2.4169681680599212E-11</v>
      </c>
      <c r="J19" s="12">
        <v>11.154525062427227</v>
      </c>
      <c r="K19" s="12">
        <v>13.463868924335612</v>
      </c>
      <c r="L19" s="12">
        <v>11.154525062427227</v>
      </c>
      <c r="M19" s="12">
        <v>13.463868924335612</v>
      </c>
    </row>
    <row r="20" spans="5:13">
      <c r="E20" s="19" t="s">
        <v>104</v>
      </c>
      <c r="F20" s="17">
        <v>1.9969006427592326</v>
      </c>
      <c r="G20" s="17">
        <v>8.047648794060577E-3</v>
      </c>
      <c r="H20" s="17">
        <v>248.13466564706567</v>
      </c>
      <c r="I20" s="17">
        <v>1.2350332891080098E-23</v>
      </c>
      <c r="J20" s="17">
        <v>1.9793663225518801</v>
      </c>
      <c r="K20" s="17">
        <v>2.0144349629665852</v>
      </c>
      <c r="L20" s="17">
        <v>1.9793663225518801</v>
      </c>
      <c r="M20" s="17">
        <v>2.0144349629665852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27.239194601254237</v>
      </c>
    </row>
    <row r="2" spans="1:10">
      <c r="A2" s="3">
        <v>14</v>
      </c>
      <c r="B2" s="4">
        <v>39.888333826220126</v>
      </c>
    </row>
    <row r="3" spans="1:10">
      <c r="A3" s="3">
        <v>21</v>
      </c>
      <c r="B3" s="4">
        <v>53.168947480302947</v>
      </c>
      <c r="E3" s="13" t="s">
        <v>117</v>
      </c>
    </row>
    <row r="4" spans="1:10">
      <c r="A4" s="3">
        <v>28</v>
      </c>
      <c r="B4" s="4">
        <v>69.469482745112003</v>
      </c>
    </row>
    <row r="5" spans="1:10" ht="15" customHeight="1">
      <c r="A5" s="3">
        <v>35</v>
      </c>
      <c r="B5" s="4">
        <v>81.864607089786148</v>
      </c>
      <c r="E5" s="14" t="s">
        <v>118</v>
      </c>
      <c r="F5" s="15"/>
    </row>
    <row r="6" spans="1:10">
      <c r="A6" s="3">
        <v>42</v>
      </c>
      <c r="B6" s="4">
        <v>96.76821374002698</v>
      </c>
      <c r="E6" s="13" t="s">
        <v>119</v>
      </c>
      <c r="F6" s="12">
        <v>0.99992791078203902</v>
      </c>
    </row>
    <row r="7" spans="1:10">
      <c r="A7" s="3">
        <v>49</v>
      </c>
      <c r="B7" s="4">
        <v>109.59447312358486</v>
      </c>
      <c r="E7" s="13" t="s">
        <v>120</v>
      </c>
      <c r="F7" s="12">
        <v>0.99985582676093332</v>
      </c>
    </row>
    <row r="8" spans="1:10">
      <c r="A8" s="3">
        <v>56</v>
      </c>
      <c r="B8" s="4">
        <v>124.2613966119571</v>
      </c>
      <c r="E8" s="13" t="s">
        <v>121</v>
      </c>
      <c r="F8" s="12">
        <v>0.99984381232434438</v>
      </c>
    </row>
    <row r="9" spans="1:10">
      <c r="A9" s="3">
        <v>63</v>
      </c>
      <c r="B9" s="4">
        <v>137.37878285935329</v>
      </c>
      <c r="E9" s="13" t="s">
        <v>122</v>
      </c>
      <c r="F9" s="12">
        <v>0.73486234825874786</v>
      </c>
    </row>
    <row r="10" spans="1:10">
      <c r="A10" s="3">
        <v>70</v>
      </c>
      <c r="B10" s="4">
        <v>152.16153339872784</v>
      </c>
      <c r="E10" s="16" t="s">
        <v>123</v>
      </c>
      <c r="F10" s="17">
        <v>14</v>
      </c>
    </row>
    <row r="11" spans="1:10">
      <c r="A11" s="3">
        <v>77</v>
      </c>
      <c r="B11" s="4">
        <v>165.98940833154117</v>
      </c>
    </row>
    <row r="12" spans="1:10">
      <c r="A12" s="3">
        <v>84</v>
      </c>
      <c r="B12" s="4">
        <v>181.16273095682556</v>
      </c>
      <c r="E12" s="13" t="s">
        <v>124</v>
      </c>
    </row>
    <row r="13" spans="1:10" ht="15" customHeight="1">
      <c r="A13" s="3">
        <v>91</v>
      </c>
      <c r="B13" s="4">
        <v>194.67584604044805</v>
      </c>
      <c r="E13" s="15"/>
      <c r="F13" s="14" t="s">
        <v>125</v>
      </c>
      <c r="G13" s="14" t="s">
        <v>126</v>
      </c>
      <c r="H13" s="14" t="s">
        <v>127</v>
      </c>
      <c r="I13" s="14" t="s">
        <v>128</v>
      </c>
      <c r="J13" s="14" t="s">
        <v>129</v>
      </c>
    </row>
    <row r="14" spans="1:10">
      <c r="A14" s="3">
        <v>98</v>
      </c>
      <c r="B14" s="4">
        <v>207.71992710643104</v>
      </c>
      <c r="E14" s="13" t="s">
        <v>130</v>
      </c>
      <c r="F14" s="12">
        <v>1</v>
      </c>
      <c r="G14" s="12">
        <v>44941.33454163235</v>
      </c>
      <c r="H14" s="12">
        <v>44941.33454163235</v>
      </c>
      <c r="I14" s="12">
        <v>83221.199709452689</v>
      </c>
      <c r="J14" s="12">
        <v>0</v>
      </c>
    </row>
    <row r="15" spans="1:10">
      <c r="A15" s="3">
        <v>105</v>
      </c>
      <c r="B15" s="4">
        <v>223.43576710601019</v>
      </c>
      <c r="E15" s="13" t="s">
        <v>131</v>
      </c>
      <c r="F15" s="12">
        <v>12</v>
      </c>
      <c r="G15" s="12">
        <v>6.480272050660334</v>
      </c>
      <c r="H15" s="12">
        <v>0.5400226708883612</v>
      </c>
    </row>
    <row r="16" spans="1:10">
      <c r="E16" s="16" t="s">
        <v>132</v>
      </c>
      <c r="F16" s="17">
        <v>13</v>
      </c>
      <c r="G16" s="17">
        <v>44947.814813683013</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11.784923986001104</v>
      </c>
      <c r="G19" s="12">
        <v>0.45833912476531741</v>
      </c>
      <c r="H19" s="12">
        <v>25.712236527997295</v>
      </c>
      <c r="I19" s="12">
        <v>7.2978103320654425E-12</v>
      </c>
      <c r="J19" s="12">
        <v>10.786288833939778</v>
      </c>
      <c r="K19" s="12">
        <v>12.783559138062429</v>
      </c>
      <c r="L19" s="12">
        <v>10.786288833939778</v>
      </c>
      <c r="M19" s="12">
        <v>12.783559138062429</v>
      </c>
    </row>
    <row r="20" spans="5:13">
      <c r="E20" s="19" t="s">
        <v>104</v>
      </c>
      <c r="F20" s="17">
        <v>2.0078637630399907</v>
      </c>
      <c r="G20" s="17">
        <v>6.9601284674440178E-3</v>
      </c>
      <c r="H20" s="17">
        <v>288.4808480808606</v>
      </c>
      <c r="I20" s="17">
        <v>2.0260342985116248E-24</v>
      </c>
      <c r="J20" s="17">
        <v>1.9926989460411992</v>
      </c>
      <c r="K20" s="17">
        <v>2.0230285800387824</v>
      </c>
      <c r="L20" s="17">
        <v>1.9926989460411992</v>
      </c>
      <c r="M20" s="17">
        <v>2.0230285800387824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26.04536109257015</v>
      </c>
    </row>
    <row r="2" spans="1:10">
      <c r="A2" s="3">
        <v>14</v>
      </c>
      <c r="B2" s="4">
        <v>41.606403511865821</v>
      </c>
    </row>
    <row r="3" spans="1:10">
      <c r="A3" s="3">
        <v>21</v>
      </c>
      <c r="B3" s="4">
        <v>53.04241126377331</v>
      </c>
      <c r="E3" s="13" t="s">
        <v>117</v>
      </c>
    </row>
    <row r="4" spans="1:10">
      <c r="A4" s="3">
        <v>28</v>
      </c>
      <c r="B4" s="4">
        <v>67.917303811378119</v>
      </c>
    </row>
    <row r="5" spans="1:10" ht="15" customHeight="1">
      <c r="A5" s="3">
        <v>35</v>
      </c>
      <c r="B5" s="4">
        <v>81.339306475172222</v>
      </c>
      <c r="E5" s="14" t="s">
        <v>118</v>
      </c>
      <c r="F5" s="15"/>
    </row>
    <row r="6" spans="1:10">
      <c r="A6" s="3">
        <v>42</v>
      </c>
      <c r="B6" s="4">
        <v>95.915499725446963</v>
      </c>
      <c r="E6" s="13" t="s">
        <v>119</v>
      </c>
      <c r="F6" s="12">
        <v>0.99987825761441018</v>
      </c>
    </row>
    <row r="7" spans="1:10">
      <c r="A7" s="3">
        <v>49</v>
      </c>
      <c r="B7" s="4">
        <v>111.43384998413289</v>
      </c>
      <c r="E7" s="13" t="s">
        <v>120</v>
      </c>
      <c r="F7" s="12">
        <v>0.99975653005002874</v>
      </c>
    </row>
    <row r="8" spans="1:10">
      <c r="A8" s="3">
        <v>56</v>
      </c>
      <c r="B8" s="4">
        <v>124.85088243882835</v>
      </c>
      <c r="E8" s="13" t="s">
        <v>121</v>
      </c>
      <c r="F8" s="12">
        <v>0.9997362408875311</v>
      </c>
    </row>
    <row r="9" spans="1:10">
      <c r="A9" s="3">
        <v>63</v>
      </c>
      <c r="B9" s="4">
        <v>139.71517725186686</v>
      </c>
      <c r="E9" s="13" t="s">
        <v>122</v>
      </c>
      <c r="F9" s="12">
        <v>0.95438797677404819</v>
      </c>
    </row>
    <row r="10" spans="1:10">
      <c r="A10" s="3">
        <v>70</v>
      </c>
      <c r="B10" s="4">
        <v>151.69259564702728</v>
      </c>
      <c r="E10" s="16" t="s">
        <v>123</v>
      </c>
      <c r="F10" s="17">
        <v>14</v>
      </c>
    </row>
    <row r="11" spans="1:10">
      <c r="A11" s="3">
        <v>77</v>
      </c>
      <c r="B11" s="4">
        <v>167.7897028092307</v>
      </c>
    </row>
    <row r="12" spans="1:10">
      <c r="A12" s="3">
        <v>84</v>
      </c>
      <c r="B12" s="4">
        <v>179.93651026793756</v>
      </c>
      <c r="E12" s="13" t="s">
        <v>124</v>
      </c>
    </row>
    <row r="13" spans="1:10" ht="15" customHeight="1">
      <c r="A13" s="3">
        <v>91</v>
      </c>
      <c r="B13" s="4">
        <v>194.10579298536885</v>
      </c>
      <c r="E13" s="15"/>
      <c r="F13" s="14" t="s">
        <v>125</v>
      </c>
      <c r="G13" s="14" t="s">
        <v>126</v>
      </c>
      <c r="H13" s="14" t="s">
        <v>127</v>
      </c>
      <c r="I13" s="14" t="s">
        <v>128</v>
      </c>
      <c r="J13" s="14" t="s">
        <v>129</v>
      </c>
    </row>
    <row r="14" spans="1:10">
      <c r="A14" s="3">
        <v>98</v>
      </c>
      <c r="B14" s="4">
        <v>208.25935268972921</v>
      </c>
      <c r="E14" s="13" t="s">
        <v>130</v>
      </c>
      <c r="F14" s="12">
        <v>1</v>
      </c>
      <c r="G14" s="12">
        <v>44882.810917091418</v>
      </c>
      <c r="H14" s="12">
        <v>44882.810917091418</v>
      </c>
      <c r="I14" s="12">
        <v>49275.39666400454</v>
      </c>
      <c r="J14" s="12">
        <v>0</v>
      </c>
    </row>
    <row r="15" spans="1:10">
      <c r="A15" s="3">
        <v>105</v>
      </c>
      <c r="B15" s="4">
        <v>223.34533503610433</v>
      </c>
      <c r="E15" s="13" t="s">
        <v>131</v>
      </c>
      <c r="F15" s="12">
        <v>12</v>
      </c>
      <c r="G15" s="12">
        <v>10.930276922530334</v>
      </c>
      <c r="H15" s="12">
        <v>0.91085641021086117</v>
      </c>
    </row>
    <row r="16" spans="1:10">
      <c r="E16" s="16" t="s">
        <v>132</v>
      </c>
      <c r="F16" s="17">
        <v>13</v>
      </c>
      <c r="G16" s="17">
        <v>44893.74119401395</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12.106355760593601</v>
      </c>
      <c r="G19" s="12">
        <v>0.59525889576143776</v>
      </c>
      <c r="H19" s="12">
        <v>20.337966969997996</v>
      </c>
      <c r="I19" s="12">
        <v>1.1468388271347804E-10</v>
      </c>
      <c r="J19" s="12">
        <v>10.809398058828661</v>
      </c>
      <c r="K19" s="12">
        <v>13.403313462358541</v>
      </c>
      <c r="L19" s="12">
        <v>10.809398058828661</v>
      </c>
      <c r="M19" s="12">
        <v>13.403313462358541</v>
      </c>
    </row>
    <row r="20" spans="5:13">
      <c r="E20" s="19" t="s">
        <v>104</v>
      </c>
      <c r="F20" s="17">
        <v>2.006555994297182</v>
      </c>
      <c r="G20" s="17">
        <v>9.0393295314028614E-3</v>
      </c>
      <c r="H20" s="17">
        <v>221.98062227141463</v>
      </c>
      <c r="I20" s="17">
        <v>4.6992607470404512E-23</v>
      </c>
      <c r="J20" s="17">
        <v>1.9868609874051848</v>
      </c>
      <c r="K20" s="17">
        <v>2.0262510011891792</v>
      </c>
      <c r="L20" s="17">
        <v>1.9868609874051848</v>
      </c>
      <c r="M20" s="17">
        <v>2.0262510011891792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27.87681760827607</v>
      </c>
    </row>
    <row r="2" spans="1:10">
      <c r="A2" s="3">
        <v>14</v>
      </c>
      <c r="B2" s="4">
        <v>41.430255260140072</v>
      </c>
    </row>
    <row r="3" spans="1:10">
      <c r="A3" s="3">
        <v>21</v>
      </c>
      <c r="B3" s="4">
        <v>55.671003130398844</v>
      </c>
      <c r="E3" s="13" t="s">
        <v>117</v>
      </c>
    </row>
    <row r="4" spans="1:10">
      <c r="A4" s="3">
        <v>28</v>
      </c>
      <c r="B4" s="4">
        <v>68.278172482467795</v>
      </c>
    </row>
    <row r="5" spans="1:10" ht="15" customHeight="1">
      <c r="A5" s="3">
        <v>35</v>
      </c>
      <c r="B5" s="4">
        <v>83.766764204709474</v>
      </c>
      <c r="E5" s="14" t="s">
        <v>118</v>
      </c>
      <c r="F5" s="15"/>
    </row>
    <row r="6" spans="1:10">
      <c r="A6" s="3">
        <v>42</v>
      </c>
      <c r="B6" s="4">
        <v>95.633754867085486</v>
      </c>
      <c r="E6" s="13" t="s">
        <v>119</v>
      </c>
      <c r="F6" s="12">
        <v>0.9998844075891633</v>
      </c>
    </row>
    <row r="7" spans="1:10">
      <c r="A7" s="3">
        <v>49</v>
      </c>
      <c r="B7" s="4">
        <v>109.25708823549827</v>
      </c>
      <c r="E7" s="13" t="s">
        <v>120</v>
      </c>
      <c r="F7" s="12">
        <v>0.99976882853993199</v>
      </c>
    </row>
    <row r="8" spans="1:10">
      <c r="A8" s="3">
        <v>56</v>
      </c>
      <c r="B8" s="4">
        <v>125.40098183574094</v>
      </c>
      <c r="E8" s="13" t="s">
        <v>121</v>
      </c>
      <c r="F8" s="12">
        <v>0.999749564251593</v>
      </c>
    </row>
    <row r="9" spans="1:10">
      <c r="A9" s="3">
        <v>63</v>
      </c>
      <c r="B9" s="4">
        <v>139.20435427963156</v>
      </c>
      <c r="E9" s="13" t="s">
        <v>122</v>
      </c>
      <c r="F9" s="12">
        <v>0.92252531434069174</v>
      </c>
    </row>
    <row r="10" spans="1:10">
      <c r="A10" s="3">
        <v>70</v>
      </c>
      <c r="B10" s="4">
        <v>152.90639533967314</v>
      </c>
      <c r="E10" s="16" t="s">
        <v>123</v>
      </c>
      <c r="F10" s="17">
        <v>14</v>
      </c>
    </row>
    <row r="11" spans="1:10">
      <c r="A11" s="3">
        <v>77</v>
      </c>
      <c r="B11" s="4">
        <v>166.87734534138906</v>
      </c>
    </row>
    <row r="12" spans="1:10">
      <c r="A12" s="3">
        <v>84</v>
      </c>
      <c r="B12" s="4">
        <v>179.434557377131</v>
      </c>
      <c r="E12" s="13" t="s">
        <v>124</v>
      </c>
    </row>
    <row r="13" spans="1:10" ht="15" customHeight="1">
      <c r="A13" s="3">
        <v>91</v>
      </c>
      <c r="B13" s="4">
        <v>195.42314095228792</v>
      </c>
      <c r="E13" s="15"/>
      <c r="F13" s="14" t="s">
        <v>125</v>
      </c>
      <c r="G13" s="14" t="s">
        <v>126</v>
      </c>
      <c r="H13" s="14" t="s">
        <v>127</v>
      </c>
      <c r="I13" s="14" t="s">
        <v>128</v>
      </c>
      <c r="J13" s="14" t="s">
        <v>129</v>
      </c>
    </row>
    <row r="14" spans="1:10">
      <c r="A14" s="3">
        <v>98</v>
      </c>
      <c r="B14" s="4">
        <v>207.19431366452548</v>
      </c>
      <c r="E14" s="13" t="s">
        <v>130</v>
      </c>
      <c r="F14" s="12">
        <v>1</v>
      </c>
      <c r="G14" s="12">
        <v>44167.539515211116</v>
      </c>
      <c r="H14" s="12">
        <v>44167.539515211116</v>
      </c>
      <c r="I14" s="12">
        <v>51897.522033871734</v>
      </c>
      <c r="J14" s="12">
        <v>0</v>
      </c>
    </row>
    <row r="15" spans="1:10">
      <c r="A15" s="3">
        <v>105</v>
      </c>
      <c r="B15" s="4">
        <v>222.81852497375542</v>
      </c>
      <c r="E15" s="13" t="s">
        <v>131</v>
      </c>
      <c r="F15" s="12">
        <v>12</v>
      </c>
      <c r="G15" s="12">
        <v>10.212635467192705</v>
      </c>
      <c r="H15" s="12">
        <v>0.85105295559939209</v>
      </c>
    </row>
    <row r="16" spans="1:10">
      <c r="E16" s="16" t="s">
        <v>132</v>
      </c>
      <c r="F16" s="17">
        <v>13</v>
      </c>
      <c r="G16" s="17">
        <v>44177.752150678309</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13.229110936507709</v>
      </c>
      <c r="G19" s="12">
        <v>0.57538591567611808</v>
      </c>
      <c r="H19" s="12">
        <v>22.991718386020263</v>
      </c>
      <c r="I19" s="12">
        <v>2.7241034753442528E-11</v>
      </c>
      <c r="J19" s="12">
        <v>11.97545273813903</v>
      </c>
      <c r="K19" s="12">
        <v>14.482769134876389</v>
      </c>
      <c r="L19" s="12">
        <v>11.97545273813903</v>
      </c>
      <c r="M19" s="12">
        <v>14.482769134876389</v>
      </c>
    </row>
    <row r="20" spans="5:13">
      <c r="E20" s="19" t="s">
        <v>104</v>
      </c>
      <c r="F20" s="17">
        <v>1.990503119847931</v>
      </c>
      <c r="G20" s="17">
        <v>8.7375475386576324E-3</v>
      </c>
      <c r="H20" s="17">
        <v>227.81027640093802</v>
      </c>
      <c r="I20" s="17">
        <v>3.4431849444858508E-23</v>
      </c>
      <c r="J20" s="17">
        <v>1.9714656394247221</v>
      </c>
      <c r="K20" s="17">
        <v>2.0095406002711398</v>
      </c>
      <c r="L20" s="17">
        <v>1.9714656394247221</v>
      </c>
      <c r="M20" s="17">
        <v>2.0095406002711398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25.598096142471565</v>
      </c>
    </row>
    <row r="2" spans="1:10">
      <c r="A2" s="3">
        <v>14</v>
      </c>
      <c r="B2" s="4">
        <v>40.997301509231157</v>
      </c>
    </row>
    <row r="3" spans="1:10">
      <c r="A3" s="3">
        <v>21</v>
      </c>
      <c r="B3" s="4">
        <v>54.366379783015127</v>
      </c>
      <c r="E3" s="13" t="s">
        <v>117</v>
      </c>
    </row>
    <row r="4" spans="1:10">
      <c r="A4" s="3">
        <v>28</v>
      </c>
      <c r="B4" s="4">
        <v>67.507919541675818</v>
      </c>
    </row>
    <row r="5" spans="1:10" ht="15" customHeight="1">
      <c r="A5" s="3">
        <v>35</v>
      </c>
      <c r="B5" s="4">
        <v>81.505542005727293</v>
      </c>
      <c r="E5" s="14" t="s">
        <v>118</v>
      </c>
      <c r="F5" s="15"/>
    </row>
    <row r="6" spans="1:10">
      <c r="A6" s="3">
        <v>42</v>
      </c>
      <c r="B6" s="4">
        <v>96.920064735453593</v>
      </c>
      <c r="E6" s="13" t="s">
        <v>119</v>
      </c>
      <c r="F6" s="12">
        <v>0.99992881824853774</v>
      </c>
    </row>
    <row r="7" spans="1:10">
      <c r="A7" s="3">
        <v>49</v>
      </c>
      <c r="B7" s="4">
        <v>109.64975577396751</v>
      </c>
      <c r="E7" s="13" t="s">
        <v>120</v>
      </c>
      <c r="F7" s="12">
        <v>0.99985764156391732</v>
      </c>
    </row>
    <row r="8" spans="1:10">
      <c r="A8" s="3">
        <v>56</v>
      </c>
      <c r="B8" s="4">
        <v>124.46938465383806</v>
      </c>
      <c r="E8" s="13" t="s">
        <v>121</v>
      </c>
      <c r="F8" s="12">
        <v>0.99984577836091049</v>
      </c>
    </row>
    <row r="9" spans="1:10">
      <c r="A9" s="3">
        <v>63</v>
      </c>
      <c r="B9" s="4">
        <v>138.60618035198934</v>
      </c>
      <c r="E9" s="13" t="s">
        <v>122</v>
      </c>
      <c r="F9" s="12">
        <v>0.7307463554283693</v>
      </c>
    </row>
    <row r="10" spans="1:10">
      <c r="A10" s="3">
        <v>70</v>
      </c>
      <c r="B10" s="4">
        <v>152.10627150456736</v>
      </c>
      <c r="E10" s="16" t="s">
        <v>123</v>
      </c>
      <c r="F10" s="17">
        <v>14</v>
      </c>
    </row>
    <row r="11" spans="1:10">
      <c r="A11" s="3">
        <v>77</v>
      </c>
      <c r="B11" s="4">
        <v>165.19759629675102</v>
      </c>
    </row>
    <row r="12" spans="1:10">
      <c r="A12" s="3">
        <v>84</v>
      </c>
      <c r="B12" s="4">
        <v>181.19763428693321</v>
      </c>
      <c r="E12" s="13" t="s">
        <v>124</v>
      </c>
    </row>
    <row r="13" spans="1:10" ht="15" customHeight="1">
      <c r="A13" s="3">
        <v>91</v>
      </c>
      <c r="B13" s="4">
        <v>194.65776450387233</v>
      </c>
      <c r="E13" s="15"/>
      <c r="F13" s="14" t="s">
        <v>125</v>
      </c>
      <c r="G13" s="14" t="s">
        <v>126</v>
      </c>
      <c r="H13" s="14" t="s">
        <v>127</v>
      </c>
      <c r="I13" s="14" t="s">
        <v>128</v>
      </c>
      <c r="J13" s="14" t="s">
        <v>129</v>
      </c>
    </row>
    <row r="14" spans="1:10">
      <c r="A14" s="3">
        <v>98</v>
      </c>
      <c r="B14" s="4">
        <v>208.61984994933604</v>
      </c>
      <c r="E14" s="13" t="s">
        <v>130</v>
      </c>
      <c r="F14" s="12">
        <v>1</v>
      </c>
      <c r="G14" s="12">
        <v>45005.90756535028</v>
      </c>
      <c r="H14" s="12">
        <v>45005.90756535028</v>
      </c>
      <c r="I14" s="12">
        <v>84282.266853514666</v>
      </c>
      <c r="J14" s="12">
        <v>0</v>
      </c>
    </row>
    <row r="15" spans="1:10">
      <c r="A15" s="3">
        <v>105</v>
      </c>
      <c r="B15" s="4">
        <v>223.90217132641763</v>
      </c>
      <c r="E15" s="13" t="s">
        <v>131</v>
      </c>
      <c r="F15" s="12">
        <v>12</v>
      </c>
      <c r="G15" s="12">
        <v>6.4078828316621363</v>
      </c>
      <c r="H15" s="12">
        <v>0.5339902359718447</v>
      </c>
    </row>
    <row r="16" spans="1:10">
      <c r="E16" s="16" t="s">
        <v>132</v>
      </c>
      <c r="F16" s="17">
        <v>13</v>
      </c>
      <c r="G16" s="17">
        <v>45012.315448181944</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11.853724869517919</v>
      </c>
      <c r="G19" s="12">
        <v>0.4557719493536419</v>
      </c>
      <c r="H19" s="12">
        <v>26.008017576176883</v>
      </c>
      <c r="I19" s="12">
        <v>6.3761679063507037E-12</v>
      </c>
      <c r="J19" s="12">
        <v>10.860683112104976</v>
      </c>
      <c r="K19" s="12">
        <v>12.846766626930862</v>
      </c>
      <c r="L19" s="12">
        <v>10.860683112104976</v>
      </c>
      <c r="M19" s="12">
        <v>12.846766626930862</v>
      </c>
    </row>
    <row r="20" spans="5:13">
      <c r="E20" s="19" t="s">
        <v>104</v>
      </c>
      <c r="F20" s="17">
        <v>2.0093057239490104</v>
      </c>
      <c r="G20" s="17">
        <v>6.9211445149549656E-3</v>
      </c>
      <c r="H20" s="17">
        <v>290.3140831126085</v>
      </c>
      <c r="I20" s="17">
        <v>1.8777500029712035E-24</v>
      </c>
      <c r="J20" s="17">
        <v>1.9942258456849207</v>
      </c>
      <c r="K20" s="17">
        <v>2.0243856022131004</v>
      </c>
      <c r="L20" s="17">
        <v>1.9942258456849207</v>
      </c>
      <c r="M20" s="17">
        <v>2.0243856022131004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25.876591248604257</v>
      </c>
    </row>
    <row r="2" spans="1:10">
      <c r="A2" s="3">
        <v>14</v>
      </c>
      <c r="B2" s="4">
        <v>40.970455158356273</v>
      </c>
    </row>
    <row r="3" spans="1:10">
      <c r="A3" s="3">
        <v>21</v>
      </c>
      <c r="B3" s="4">
        <v>54.176986433279531</v>
      </c>
      <c r="E3" s="13" t="s">
        <v>117</v>
      </c>
    </row>
    <row r="4" spans="1:10">
      <c r="A4" s="3">
        <v>28</v>
      </c>
      <c r="B4" s="4">
        <v>68.816692484503179</v>
      </c>
    </row>
    <row r="5" spans="1:10" ht="15" customHeight="1">
      <c r="A5" s="3">
        <v>35</v>
      </c>
      <c r="B5" s="4">
        <v>81.117574008522411</v>
      </c>
      <c r="E5" s="14" t="s">
        <v>118</v>
      </c>
      <c r="F5" s="15"/>
    </row>
    <row r="6" spans="1:10">
      <c r="A6" s="3">
        <v>42</v>
      </c>
      <c r="B6" s="4">
        <v>95.409853945829653</v>
      </c>
      <c r="E6" s="13" t="s">
        <v>119</v>
      </c>
      <c r="F6" s="12">
        <v>0.99990511181409969</v>
      </c>
    </row>
    <row r="7" spans="1:10">
      <c r="A7" s="3">
        <v>49</v>
      </c>
      <c r="B7" s="4">
        <v>110.72577357760117</v>
      </c>
      <c r="E7" s="13" t="s">
        <v>120</v>
      </c>
      <c r="F7" s="12">
        <v>0.99981023263196711</v>
      </c>
    </row>
    <row r="8" spans="1:10">
      <c r="A8" s="3">
        <v>56</v>
      </c>
      <c r="B8" s="4">
        <v>125.79912433242697</v>
      </c>
      <c r="E8" s="13" t="s">
        <v>121</v>
      </c>
      <c r="F8" s="12">
        <v>0.99979441868463104</v>
      </c>
    </row>
    <row r="9" spans="1:10">
      <c r="A9" s="3">
        <v>63</v>
      </c>
      <c r="B9" s="4">
        <v>139.14310124310938</v>
      </c>
      <c r="E9" s="13" t="s">
        <v>122</v>
      </c>
      <c r="F9" s="12">
        <v>0.84187461741598013</v>
      </c>
    </row>
    <row r="10" spans="1:10">
      <c r="A10" s="3">
        <v>70</v>
      </c>
      <c r="B10" s="4">
        <v>152.39741262914782</v>
      </c>
      <c r="E10" s="16" t="s">
        <v>123</v>
      </c>
      <c r="F10" s="17">
        <v>14</v>
      </c>
    </row>
    <row r="11" spans="1:10">
      <c r="A11" s="3">
        <v>77</v>
      </c>
      <c r="B11" s="4">
        <v>165.15311657160962</v>
      </c>
    </row>
    <row r="12" spans="1:10">
      <c r="A12" s="3">
        <v>84</v>
      </c>
      <c r="B12" s="4">
        <v>180.24126165542773</v>
      </c>
      <c r="E12" s="13" t="s">
        <v>124</v>
      </c>
    </row>
    <row r="13" spans="1:10" ht="15" customHeight="1">
      <c r="A13" s="3">
        <v>91</v>
      </c>
      <c r="B13" s="4">
        <v>195.09209516002824</v>
      </c>
      <c r="E13" s="15"/>
      <c r="F13" s="14" t="s">
        <v>125</v>
      </c>
      <c r="G13" s="14" t="s">
        <v>126</v>
      </c>
      <c r="H13" s="14" t="s">
        <v>127</v>
      </c>
      <c r="I13" s="14" t="s">
        <v>128</v>
      </c>
      <c r="J13" s="14" t="s">
        <v>129</v>
      </c>
    </row>
    <row r="14" spans="1:10">
      <c r="A14" s="3">
        <v>98</v>
      </c>
      <c r="B14" s="4">
        <v>208.39649894270434</v>
      </c>
      <c r="E14" s="13" t="s">
        <v>130</v>
      </c>
      <c r="F14" s="12">
        <v>1</v>
      </c>
      <c r="G14" s="12">
        <v>44809.70868454616</v>
      </c>
      <c r="H14" s="12">
        <v>44809.70868454616</v>
      </c>
      <c r="I14" s="12">
        <v>63223.318718859533</v>
      </c>
      <c r="J14" s="12">
        <v>0</v>
      </c>
    </row>
    <row r="15" spans="1:10">
      <c r="A15" s="3">
        <v>105</v>
      </c>
      <c r="B15" s="4">
        <v>223.41967907303805</v>
      </c>
      <c r="E15" s="13" t="s">
        <v>131</v>
      </c>
      <c r="F15" s="12">
        <v>12</v>
      </c>
      <c r="G15" s="12">
        <v>8.5050344573916359</v>
      </c>
      <c r="H15" s="12">
        <v>0.70875287144930299</v>
      </c>
    </row>
    <row r="16" spans="1:10">
      <c r="E16" s="16" t="s">
        <v>132</v>
      </c>
      <c r="F16" s="17">
        <v>13</v>
      </c>
      <c r="G16" s="17">
        <v>44818.21371900355</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12.197158629634146</v>
      </c>
      <c r="G19" s="12">
        <v>0.52508347477984085</v>
      </c>
      <c r="H19" s="12">
        <v>23.228989704443126</v>
      </c>
      <c r="I19" s="12">
        <v>2.4143986455438612E-11</v>
      </c>
      <c r="J19" s="12">
        <v>11.053100033392452</v>
      </c>
      <c r="K19" s="12">
        <v>13.341217225875839</v>
      </c>
      <c r="L19" s="12">
        <v>11.053100033392452</v>
      </c>
      <c r="M19" s="12">
        <v>13.341217225875839</v>
      </c>
    </row>
    <row r="20" spans="5:13">
      <c r="E20" s="19" t="s">
        <v>104</v>
      </c>
      <c r="F20" s="17">
        <v>2.00492125378236</v>
      </c>
      <c r="G20" s="17">
        <v>7.9736776616460055E-3</v>
      </c>
      <c r="H20" s="17">
        <v>251.44247596390599</v>
      </c>
      <c r="I20" s="17">
        <v>1.0536019171138556E-23</v>
      </c>
      <c r="J20" s="17">
        <v>1.9875481028251882</v>
      </c>
      <c r="K20" s="17">
        <v>2.0222944047395317</v>
      </c>
      <c r="L20" s="17">
        <v>1.9875481028251882</v>
      </c>
      <c r="M20" s="17">
        <v>2.0222944047395317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26.996354171031069</v>
      </c>
    </row>
    <row r="2" spans="1:10">
      <c r="A2" s="3">
        <v>14</v>
      </c>
      <c r="B2" s="4">
        <v>40.372265253434733</v>
      </c>
    </row>
    <row r="3" spans="1:10">
      <c r="A3" s="3">
        <v>21</v>
      </c>
      <c r="B3" s="4">
        <v>53.622400403064248</v>
      </c>
      <c r="E3" s="13" t="s">
        <v>117</v>
      </c>
    </row>
    <row r="4" spans="1:10">
      <c r="A4" s="3">
        <v>28</v>
      </c>
      <c r="B4" s="4">
        <v>67.673649769971391</v>
      </c>
    </row>
    <row r="5" spans="1:10" ht="15" customHeight="1">
      <c r="A5" s="3">
        <v>35</v>
      </c>
      <c r="B5" s="4">
        <v>81.868559891151335</v>
      </c>
      <c r="E5" s="14" t="s">
        <v>118</v>
      </c>
      <c r="F5" s="15"/>
    </row>
    <row r="6" spans="1:10">
      <c r="A6" s="3">
        <v>42</v>
      </c>
      <c r="B6" s="4">
        <v>97.235453235736728</v>
      </c>
      <c r="E6" s="13" t="s">
        <v>119</v>
      </c>
      <c r="F6" s="12">
        <v>0.99986770349932352</v>
      </c>
    </row>
    <row r="7" spans="1:10">
      <c r="A7" s="3">
        <v>49</v>
      </c>
      <c r="B7" s="4">
        <v>111.96454748603841</v>
      </c>
      <c r="E7" s="13" t="s">
        <v>120</v>
      </c>
      <c r="F7" s="12">
        <v>0.99973542450101105</v>
      </c>
    </row>
    <row r="8" spans="1:10">
      <c r="A8" s="3">
        <v>56</v>
      </c>
      <c r="B8" s="4">
        <v>124.14411124606028</v>
      </c>
      <c r="E8" s="13" t="s">
        <v>121</v>
      </c>
      <c r="F8" s="12">
        <v>0.99971337654276193</v>
      </c>
    </row>
    <row r="9" spans="1:10">
      <c r="A9" s="3">
        <v>63</v>
      </c>
      <c r="B9" s="4">
        <v>137.27750820674419</v>
      </c>
      <c r="E9" s="13" t="s">
        <v>122</v>
      </c>
      <c r="F9" s="12">
        <v>0.99114736789268765</v>
      </c>
    </row>
    <row r="10" spans="1:10">
      <c r="A10" s="3">
        <v>70</v>
      </c>
      <c r="B10" s="4">
        <v>153.00172080430457</v>
      </c>
      <c r="E10" s="16" t="s">
        <v>123</v>
      </c>
      <c r="F10" s="17">
        <v>14</v>
      </c>
    </row>
    <row r="11" spans="1:10">
      <c r="A11" s="3">
        <v>77</v>
      </c>
      <c r="B11" s="4">
        <v>167.35923713666901</v>
      </c>
    </row>
    <row r="12" spans="1:10">
      <c r="A12" s="3">
        <v>84</v>
      </c>
      <c r="B12" s="4">
        <v>181.86479191525822</v>
      </c>
      <c r="E12" s="13" t="s">
        <v>124</v>
      </c>
    </row>
    <row r="13" spans="1:10" ht="15" customHeight="1">
      <c r="A13" s="3">
        <v>91</v>
      </c>
      <c r="B13" s="4">
        <v>193.96125428919157</v>
      </c>
      <c r="E13" s="15"/>
      <c r="F13" s="14" t="s">
        <v>125</v>
      </c>
      <c r="G13" s="14" t="s">
        <v>126</v>
      </c>
      <c r="H13" s="14" t="s">
        <v>127</v>
      </c>
      <c r="I13" s="14" t="s">
        <v>128</v>
      </c>
      <c r="J13" s="14" t="s">
        <v>129</v>
      </c>
    </row>
    <row r="14" spans="1:10">
      <c r="A14" s="3">
        <v>98</v>
      </c>
      <c r="B14" s="4">
        <v>207.60796129435326</v>
      </c>
      <c r="E14" s="13" t="s">
        <v>130</v>
      </c>
      <c r="F14" s="12">
        <v>1</v>
      </c>
      <c r="G14" s="12">
        <v>44544.40551506498</v>
      </c>
      <c r="H14" s="12">
        <v>44544.40551506498</v>
      </c>
      <c r="I14" s="12">
        <v>45343.673695625948</v>
      </c>
      <c r="J14" s="12">
        <v>0</v>
      </c>
    </row>
    <row r="15" spans="1:10">
      <c r="A15" s="3">
        <v>105</v>
      </c>
      <c r="B15" s="4">
        <v>221.10113810386292</v>
      </c>
      <c r="E15" s="13" t="s">
        <v>131</v>
      </c>
      <c r="F15" s="12">
        <v>12</v>
      </c>
      <c r="G15" s="12">
        <v>11.788477258567234</v>
      </c>
      <c r="H15" s="12">
        <v>0.98237310488060281</v>
      </c>
    </row>
    <row r="16" spans="1:10">
      <c r="E16" s="16" t="s">
        <v>132</v>
      </c>
      <c r="F16" s="17">
        <v>13</v>
      </c>
      <c r="G16" s="17">
        <v>44556.193992323548</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12.421898713475116</v>
      </c>
      <c r="G19" s="12">
        <v>0.61818600203126506</v>
      </c>
      <c r="H19" s="12">
        <v>20.094111922073047</v>
      </c>
      <c r="I19" s="12">
        <v>1.3203874842435717E-10</v>
      </c>
      <c r="J19" s="12">
        <v>11.074987139088417</v>
      </c>
      <c r="K19" s="12">
        <v>13.768810287861815</v>
      </c>
      <c r="L19" s="12">
        <v>11.074987139088417</v>
      </c>
      <c r="M19" s="12">
        <v>13.768810287861815</v>
      </c>
    </row>
    <row r="20" spans="5:13">
      <c r="E20" s="19" t="s">
        <v>104</v>
      </c>
      <c r="F20" s="17">
        <v>1.998977211341165</v>
      </c>
      <c r="G20" s="17">
        <v>9.3874900885153427E-3</v>
      </c>
      <c r="H20" s="17">
        <v>212.94054028208393</v>
      </c>
      <c r="I20" s="17">
        <v>7.7385397316776747E-23</v>
      </c>
      <c r="J20" s="17">
        <v>1.9785236277706619</v>
      </c>
      <c r="K20" s="17">
        <v>2.0194307949116683</v>
      </c>
      <c r="L20" s="17">
        <v>1.9785236277706619</v>
      </c>
      <c r="M20" s="17">
        <v>2.0194307949116683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25.528982645409513</v>
      </c>
    </row>
    <row r="2" spans="1:10">
      <c r="A2" s="3">
        <v>14</v>
      </c>
      <c r="B2" s="4">
        <v>41.830905676169579</v>
      </c>
    </row>
    <row r="3" spans="1:10">
      <c r="A3" s="3">
        <v>21</v>
      </c>
      <c r="B3" s="4">
        <v>54.406816451756526</v>
      </c>
      <c r="E3" s="13" t="s">
        <v>117</v>
      </c>
    </row>
    <row r="4" spans="1:10">
      <c r="A4" s="3">
        <v>28</v>
      </c>
      <c r="B4" s="4">
        <v>68.831859267309142</v>
      </c>
    </row>
    <row r="5" spans="1:10" ht="15" customHeight="1">
      <c r="A5" s="3">
        <v>35</v>
      </c>
      <c r="B5" s="4">
        <v>82.02639903808965</v>
      </c>
      <c r="E5" s="14" t="s">
        <v>118</v>
      </c>
      <c r="F5" s="15"/>
    </row>
    <row r="6" spans="1:10">
      <c r="A6" s="3">
        <v>42</v>
      </c>
      <c r="B6" s="4">
        <v>95.340202569125594</v>
      </c>
      <c r="E6" s="13" t="s">
        <v>119</v>
      </c>
      <c r="F6" s="12">
        <v>0.99990066170765701</v>
      </c>
    </row>
    <row r="7" spans="1:10">
      <c r="A7" s="3">
        <v>49</v>
      </c>
      <c r="B7" s="4">
        <v>109.39167966758642</v>
      </c>
      <c r="E7" s="13" t="s">
        <v>120</v>
      </c>
      <c r="F7" s="12">
        <v>0.99980133328341037</v>
      </c>
    </row>
    <row r="8" spans="1:10">
      <c r="A8" s="3">
        <v>56</v>
      </c>
      <c r="B8" s="4">
        <v>125.19386214294244</v>
      </c>
      <c r="E8" s="13" t="s">
        <v>121</v>
      </c>
      <c r="F8" s="12">
        <v>0.99978477772369456</v>
      </c>
    </row>
    <row r="9" spans="1:10">
      <c r="A9" s="3">
        <v>63</v>
      </c>
      <c r="B9" s="4">
        <v>137.46277096167421</v>
      </c>
      <c r="E9" s="13" t="s">
        <v>122</v>
      </c>
      <c r="F9" s="12">
        <v>0.86152221769134685</v>
      </c>
    </row>
    <row r="10" spans="1:10">
      <c r="A10" s="3">
        <v>70</v>
      </c>
      <c r="B10" s="4">
        <v>151.98333294108338</v>
      </c>
      <c r="E10" s="16" t="s">
        <v>123</v>
      </c>
      <c r="F10" s="17">
        <v>14</v>
      </c>
    </row>
    <row r="11" spans="1:10">
      <c r="A11" s="3">
        <v>77</v>
      </c>
      <c r="B11" s="4">
        <v>166.27356700499575</v>
      </c>
    </row>
    <row r="12" spans="1:10">
      <c r="A12" s="3">
        <v>84</v>
      </c>
      <c r="B12" s="4">
        <v>181.3879989804592</v>
      </c>
      <c r="E12" s="13" t="s">
        <v>124</v>
      </c>
    </row>
    <row r="13" spans="1:10" ht="15" customHeight="1">
      <c r="A13" s="3">
        <v>91</v>
      </c>
      <c r="B13" s="4">
        <v>195.71294023798262</v>
      </c>
      <c r="E13" s="15"/>
      <c r="F13" s="14" t="s">
        <v>125</v>
      </c>
      <c r="G13" s="14" t="s">
        <v>126</v>
      </c>
      <c r="H13" s="14" t="s">
        <v>127</v>
      </c>
      <c r="I13" s="14" t="s">
        <v>128</v>
      </c>
      <c r="J13" s="14" t="s">
        <v>129</v>
      </c>
    </row>
    <row r="14" spans="1:10">
      <c r="A14" s="3">
        <v>98</v>
      </c>
      <c r="B14" s="4">
        <v>208.7842637956378</v>
      </c>
      <c r="E14" s="13" t="s">
        <v>130</v>
      </c>
      <c r="F14" s="12">
        <v>1</v>
      </c>
      <c r="G14" s="12">
        <v>44823.194733274497</v>
      </c>
      <c r="H14" s="12">
        <v>44823.194733274497</v>
      </c>
      <c r="I14" s="12">
        <v>60390.669385162233</v>
      </c>
      <c r="J14" s="12">
        <v>0</v>
      </c>
    </row>
    <row r="15" spans="1:10">
      <c r="A15" s="3">
        <v>105</v>
      </c>
      <c r="B15" s="4">
        <v>223.08563689085045</v>
      </c>
      <c r="E15" s="13" t="s">
        <v>131</v>
      </c>
      <c r="F15" s="12">
        <v>12</v>
      </c>
      <c r="G15" s="12">
        <v>8.906646378909798</v>
      </c>
      <c r="H15" s="12">
        <v>0.74222053157581647</v>
      </c>
    </row>
    <row r="16" spans="1:10">
      <c r="E16" s="16" t="s">
        <v>132</v>
      </c>
      <c r="F16" s="17">
        <v>13</v>
      </c>
      <c r="G16" s="17">
        <v>44832.10137965341</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12.240109382799005</v>
      </c>
      <c r="G19" s="12">
        <v>0.53733782953796427</v>
      </c>
      <c r="H19" s="12">
        <v>22.779169285966326</v>
      </c>
      <c r="I19" s="12">
        <v>3.0382201020996526E-11</v>
      </c>
      <c r="J19" s="12">
        <v>11.069350841547035</v>
      </c>
      <c r="K19" s="12">
        <v>13.410867924050976</v>
      </c>
      <c r="L19" s="12">
        <v>11.069350841547035</v>
      </c>
      <c r="M19" s="12">
        <v>13.410867924050976</v>
      </c>
    </row>
    <row r="20" spans="5:13">
      <c r="E20" s="19" t="s">
        <v>104</v>
      </c>
      <c r="F20" s="17">
        <v>2.0052229342934904</v>
      </c>
      <c r="G20" s="17">
        <v>8.1597666922210085E-3</v>
      </c>
      <c r="H20" s="17">
        <v>245.7451309490429</v>
      </c>
      <c r="I20" s="17">
        <v>1.3870741831109915E-23</v>
      </c>
      <c r="J20" s="17">
        <v>1.9874443301744478</v>
      </c>
      <c r="K20" s="17">
        <v>2.0230015384125331</v>
      </c>
      <c r="L20" s="17">
        <v>1.9874443301744478</v>
      </c>
      <c r="M20" s="17">
        <v>2.0230015384125331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25.12295742308082</v>
      </c>
    </row>
    <row r="2" spans="1:10">
      <c r="A2" s="3">
        <v>14</v>
      </c>
      <c r="B2" s="4">
        <v>39.808247878307235</v>
      </c>
    </row>
    <row r="3" spans="1:10">
      <c r="A3" s="3">
        <v>21</v>
      </c>
      <c r="B3" s="4">
        <v>54.890869787616865</v>
      </c>
      <c r="E3" s="13" t="s">
        <v>117</v>
      </c>
    </row>
    <row r="4" spans="1:10">
      <c r="A4" s="3">
        <v>28</v>
      </c>
      <c r="B4" s="4">
        <v>68.24114024231389</v>
      </c>
    </row>
    <row r="5" spans="1:10" ht="15" customHeight="1">
      <c r="A5" s="3">
        <v>35</v>
      </c>
      <c r="B5" s="4">
        <v>83.694893403840197</v>
      </c>
      <c r="E5" s="14" t="s">
        <v>118</v>
      </c>
      <c r="F5" s="15"/>
    </row>
    <row r="6" spans="1:10">
      <c r="A6" s="3">
        <v>42</v>
      </c>
      <c r="B6" s="4">
        <v>95.708992193857085</v>
      </c>
      <c r="E6" s="13" t="s">
        <v>119</v>
      </c>
      <c r="F6" s="12">
        <v>0.99990449707866425</v>
      </c>
    </row>
    <row r="7" spans="1:10">
      <c r="A7" s="3">
        <v>49</v>
      </c>
      <c r="B7" s="4">
        <v>110.63714044941472</v>
      </c>
      <c r="E7" s="13" t="s">
        <v>120</v>
      </c>
      <c r="F7" s="12">
        <v>0.99980900327813649</v>
      </c>
    </row>
    <row r="8" spans="1:10">
      <c r="A8" s="3">
        <v>56</v>
      </c>
      <c r="B8" s="4">
        <v>123.22058187843778</v>
      </c>
      <c r="E8" s="13" t="s">
        <v>121</v>
      </c>
      <c r="F8" s="12">
        <v>0.99979308688464785</v>
      </c>
    </row>
    <row r="9" spans="1:10">
      <c r="A9" s="3">
        <v>63</v>
      </c>
      <c r="B9" s="4">
        <v>137.18553303252074</v>
      </c>
      <c r="E9" s="13" t="s">
        <v>122</v>
      </c>
      <c r="F9" s="12">
        <v>0.84341171524906766</v>
      </c>
    </row>
    <row r="10" spans="1:10">
      <c r="A10" s="3">
        <v>70</v>
      </c>
      <c r="B10" s="4">
        <v>152.26273894545884</v>
      </c>
      <c r="E10" s="16" t="s">
        <v>123</v>
      </c>
      <c r="F10" s="17">
        <v>14</v>
      </c>
    </row>
    <row r="11" spans="1:10">
      <c r="A11" s="3">
        <v>77</v>
      </c>
      <c r="B11" s="4">
        <v>167.68674722602304</v>
      </c>
    </row>
    <row r="12" spans="1:10">
      <c r="A12" s="3">
        <v>84</v>
      </c>
      <c r="B12" s="4">
        <v>180.31387463678502</v>
      </c>
      <c r="E12" s="13" t="s">
        <v>124</v>
      </c>
    </row>
    <row r="13" spans="1:10" ht="15" customHeight="1">
      <c r="A13" s="3">
        <v>91</v>
      </c>
      <c r="B13" s="4">
        <v>194.01702516987473</v>
      </c>
      <c r="E13" s="15"/>
      <c r="F13" s="14" t="s">
        <v>125</v>
      </c>
      <c r="G13" s="14" t="s">
        <v>126</v>
      </c>
      <c r="H13" s="14" t="s">
        <v>127</v>
      </c>
      <c r="I13" s="14" t="s">
        <v>128</v>
      </c>
      <c r="J13" s="14" t="s">
        <v>129</v>
      </c>
    </row>
    <row r="14" spans="1:10">
      <c r="A14" s="3">
        <v>98</v>
      </c>
      <c r="B14" s="4">
        <v>209.39926476068686</v>
      </c>
      <c r="E14" s="13" t="s">
        <v>130</v>
      </c>
      <c r="F14" s="12">
        <v>1</v>
      </c>
      <c r="G14" s="12">
        <v>44683.95793840754</v>
      </c>
      <c r="H14" s="12">
        <v>44683.95793840754</v>
      </c>
      <c r="I14" s="12">
        <v>62816.303454213485</v>
      </c>
      <c r="J14" s="12">
        <v>0</v>
      </c>
    </row>
    <row r="15" spans="1:10">
      <c r="A15" s="3">
        <v>105</v>
      </c>
      <c r="B15" s="4">
        <v>222.12125173412807</v>
      </c>
      <c r="E15" s="13" t="s">
        <v>131</v>
      </c>
      <c r="F15" s="12">
        <v>12</v>
      </c>
      <c r="G15" s="12">
        <v>8.5361198570324923</v>
      </c>
      <c r="H15" s="12">
        <v>0.7113433214193744</v>
      </c>
    </row>
    <row r="16" spans="1:10">
      <c r="E16" s="16" t="s">
        <v>132</v>
      </c>
      <c r="F16" s="17">
        <v>13</v>
      </c>
      <c r="G16" s="17">
        <v>44692.494058264572</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12.245283344684481</v>
      </c>
      <c r="G19" s="12">
        <v>0.52604217415689469</v>
      </c>
      <c r="H19" s="12">
        <v>23.278139940605339</v>
      </c>
      <c r="I19" s="12">
        <v>2.3551341662306541E-11</v>
      </c>
      <c r="J19" s="12">
        <v>11.09913592196812</v>
      </c>
      <c r="K19" s="12">
        <v>13.391430767400841</v>
      </c>
      <c r="L19" s="12">
        <v>11.09913592196812</v>
      </c>
      <c r="M19" s="12">
        <v>13.391430767400841</v>
      </c>
    </row>
    <row r="20" spans="5:13">
      <c r="E20" s="19" t="s">
        <v>104</v>
      </c>
      <c r="F20" s="17">
        <v>2.0021060438339529</v>
      </c>
      <c r="G20" s="17">
        <v>7.988236032217948E-3</v>
      </c>
      <c r="H20" s="17">
        <v>250.63180854435325</v>
      </c>
      <c r="I20" s="17">
        <v>1.0952242621738919E-23</v>
      </c>
      <c r="J20" s="17">
        <v>1.9847011729126227</v>
      </c>
      <c r="K20" s="17">
        <v>2.019510914755283</v>
      </c>
      <c r="L20" s="17">
        <v>1.9847011729126227</v>
      </c>
      <c r="M20" s="17">
        <v>2.019510914755283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25.093267425118366</v>
      </c>
    </row>
    <row r="2" spans="1:10">
      <c r="A2" s="3">
        <v>14</v>
      </c>
      <c r="B2" s="4">
        <v>41.351825540107882</v>
      </c>
    </row>
    <row r="3" spans="1:10">
      <c r="A3" s="3">
        <v>21</v>
      </c>
      <c r="B3" s="4">
        <v>53.862915065220996</v>
      </c>
      <c r="E3" s="13" t="s">
        <v>117</v>
      </c>
    </row>
    <row r="4" spans="1:10">
      <c r="A4" s="3">
        <v>28</v>
      </c>
      <c r="B4" s="4">
        <v>67.586236291837864</v>
      </c>
    </row>
    <row r="5" spans="1:10" ht="15" customHeight="1">
      <c r="A5" s="3">
        <v>35</v>
      </c>
      <c r="B5" s="4">
        <v>81.542828441915844</v>
      </c>
      <c r="E5" s="14" t="s">
        <v>118</v>
      </c>
      <c r="F5" s="15"/>
    </row>
    <row r="6" spans="1:10">
      <c r="A6" s="3">
        <v>42</v>
      </c>
      <c r="B6" s="4">
        <v>95.075894070806854</v>
      </c>
      <c r="E6" s="13" t="s">
        <v>119</v>
      </c>
      <c r="F6" s="12">
        <v>0.99987806312115191</v>
      </c>
    </row>
    <row r="7" spans="1:10">
      <c r="A7" s="3">
        <v>49</v>
      </c>
      <c r="B7" s="4">
        <v>109.03315789816531</v>
      </c>
      <c r="E7" s="13" t="s">
        <v>120</v>
      </c>
      <c r="F7" s="12">
        <v>0.99975614111090616</v>
      </c>
    </row>
    <row r="8" spans="1:10">
      <c r="A8" s="3">
        <v>56</v>
      </c>
      <c r="B8" s="4">
        <v>124.85863809715465</v>
      </c>
      <c r="E8" s="13" t="s">
        <v>121</v>
      </c>
      <c r="F8" s="12">
        <v>0.99973581953681501</v>
      </c>
    </row>
    <row r="9" spans="1:10">
      <c r="A9" s="3">
        <v>63</v>
      </c>
      <c r="B9" s="4">
        <v>137.02026484790107</v>
      </c>
      <c r="E9" s="13" t="s">
        <v>122</v>
      </c>
      <c r="F9" s="12">
        <v>0.95712640352820322</v>
      </c>
    </row>
    <row r="10" spans="1:10">
      <c r="A10" s="3">
        <v>70</v>
      </c>
      <c r="B10" s="4">
        <v>151.35348622933952</v>
      </c>
      <c r="E10" s="16" t="s">
        <v>123</v>
      </c>
      <c r="F10" s="17">
        <v>14</v>
      </c>
    </row>
    <row r="11" spans="1:10">
      <c r="A11" s="3">
        <v>77</v>
      </c>
      <c r="B11" s="4">
        <v>165.63411473146641</v>
      </c>
    </row>
    <row r="12" spans="1:10">
      <c r="A12" s="3">
        <v>84</v>
      </c>
      <c r="B12" s="4">
        <v>181.44856827312</v>
      </c>
      <c r="E12" s="13" t="s">
        <v>124</v>
      </c>
    </row>
    <row r="13" spans="1:10" ht="15" customHeight="1">
      <c r="A13" s="3">
        <v>91</v>
      </c>
      <c r="B13" s="4">
        <v>195.47686002549148</v>
      </c>
      <c r="E13" s="15"/>
      <c r="F13" s="14" t="s">
        <v>125</v>
      </c>
      <c r="G13" s="14" t="s">
        <v>126</v>
      </c>
      <c r="H13" s="14" t="s">
        <v>127</v>
      </c>
      <c r="I13" s="14" t="s">
        <v>128</v>
      </c>
      <c r="J13" s="14" t="s">
        <v>129</v>
      </c>
    </row>
    <row r="14" spans="1:10">
      <c r="A14" s="3">
        <v>98</v>
      </c>
      <c r="B14" s="4">
        <v>207.99182005235591</v>
      </c>
      <c r="E14" s="13" t="s">
        <v>130</v>
      </c>
      <c r="F14" s="12">
        <v>1</v>
      </c>
      <c r="G14" s="12">
        <v>45068.730960532208</v>
      </c>
      <c r="H14" s="12">
        <v>45068.730960532208</v>
      </c>
      <c r="I14" s="12">
        <v>49196.786460845091</v>
      </c>
      <c r="J14" s="12">
        <v>0</v>
      </c>
    </row>
    <row r="15" spans="1:10">
      <c r="A15" s="3">
        <v>105</v>
      </c>
      <c r="B15" s="4">
        <v>223.38384967061515</v>
      </c>
      <c r="E15" s="13" t="s">
        <v>131</v>
      </c>
      <c r="F15" s="12">
        <v>12</v>
      </c>
      <c r="G15" s="12">
        <v>10.993091427969995</v>
      </c>
      <c r="H15" s="12">
        <v>0.91609095233083293</v>
      </c>
    </row>
    <row r="16" spans="1:10">
      <c r="E16" s="16" t="s">
        <v>132</v>
      </c>
      <c r="F16" s="17">
        <v>13</v>
      </c>
      <c r="G16" s="17">
        <v>45079.724051960176</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11.478643580110202</v>
      </c>
      <c r="G19" s="12">
        <v>0.59696687294207218</v>
      </c>
      <c r="H19" s="12">
        <v>19.228275638712123</v>
      </c>
      <c r="I19" s="12">
        <v>2.2070847690476677E-10</v>
      </c>
      <c r="J19" s="12">
        <v>10.177964515800937</v>
      </c>
      <c r="K19" s="12">
        <v>12.779322644419466</v>
      </c>
      <c r="L19" s="12">
        <v>10.177964515800937</v>
      </c>
      <c r="M19" s="12">
        <v>12.779322644419466</v>
      </c>
    </row>
    <row r="20" spans="5:13">
      <c r="E20" s="19" t="s">
        <v>104</v>
      </c>
      <c r="F20" s="17">
        <v>2.0107076219855422</v>
      </c>
      <c r="G20" s="17">
        <v>9.0652660922468983E-3</v>
      </c>
      <c r="H20" s="17">
        <v>221.80348613320984</v>
      </c>
      <c r="I20" s="17">
        <v>4.7444837428639491E-23</v>
      </c>
      <c r="J20" s="17">
        <v>1.9909561041827739</v>
      </c>
      <c r="K20" s="17">
        <v>2.0304591397883103</v>
      </c>
      <c r="L20" s="17">
        <v>1.9909561041827739</v>
      </c>
      <c r="M20" s="17">
        <v>2.0304591397883103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26.098897031087962</v>
      </c>
    </row>
    <row r="2" spans="1:10">
      <c r="A2" s="3">
        <v>14</v>
      </c>
      <c r="B2" s="4">
        <v>40.611309924419587</v>
      </c>
    </row>
    <row r="3" spans="1:10">
      <c r="A3" s="3">
        <v>21</v>
      </c>
      <c r="B3" s="4">
        <v>54.103899764079102</v>
      </c>
      <c r="E3" s="13" t="s">
        <v>117</v>
      </c>
    </row>
    <row r="4" spans="1:10">
      <c r="A4" s="3">
        <v>28</v>
      </c>
      <c r="B4" s="4">
        <v>67.884198030110468</v>
      </c>
    </row>
    <row r="5" spans="1:10" ht="15" customHeight="1">
      <c r="A5" s="3">
        <v>35</v>
      </c>
      <c r="B5" s="4">
        <v>81.295886117899499</v>
      </c>
      <c r="E5" s="14" t="s">
        <v>118</v>
      </c>
      <c r="F5" s="15"/>
    </row>
    <row r="6" spans="1:10">
      <c r="A6" s="3">
        <v>42</v>
      </c>
      <c r="B6" s="4">
        <v>95.883239429264961</v>
      </c>
      <c r="E6" s="13" t="s">
        <v>119</v>
      </c>
      <c r="F6" s="12">
        <v>0.99990636892484519</v>
      </c>
    </row>
    <row r="7" spans="1:10">
      <c r="A7" s="3">
        <v>49</v>
      </c>
      <c r="B7" s="4">
        <v>111.80777749374981</v>
      </c>
      <c r="E7" s="13" t="s">
        <v>120</v>
      </c>
      <c r="F7" s="12">
        <v>0.99981274661646868</v>
      </c>
    </row>
    <row r="8" spans="1:10">
      <c r="A8" s="3">
        <v>56</v>
      </c>
      <c r="B8" s="4">
        <v>124.30191584713377</v>
      </c>
      <c r="E8" s="13" t="s">
        <v>121</v>
      </c>
      <c r="F8" s="12">
        <v>0.99979714216784099</v>
      </c>
    </row>
    <row r="9" spans="1:10">
      <c r="A9" s="3">
        <v>63</v>
      </c>
      <c r="B9" s="4">
        <v>138.15415007408529</v>
      </c>
      <c r="E9" s="13" t="s">
        <v>122</v>
      </c>
      <c r="F9" s="12">
        <v>0.83373909863165063</v>
      </c>
    </row>
    <row r="10" spans="1:10">
      <c r="A10" s="3">
        <v>70</v>
      </c>
      <c r="B10" s="4">
        <v>153.56218018009639</v>
      </c>
      <c r="E10" s="16" t="s">
        <v>123</v>
      </c>
      <c r="F10" s="17">
        <v>14</v>
      </c>
    </row>
    <row r="11" spans="1:10">
      <c r="A11" s="3">
        <v>77</v>
      </c>
      <c r="B11" s="4">
        <v>165.95053408477119</v>
      </c>
    </row>
    <row r="12" spans="1:10">
      <c r="A12" s="3">
        <v>84</v>
      </c>
      <c r="B12" s="4">
        <v>179.64193146847353</v>
      </c>
      <c r="E12" s="13" t="s">
        <v>124</v>
      </c>
    </row>
    <row r="13" spans="1:10" ht="15" customHeight="1">
      <c r="A13" s="3">
        <v>91</v>
      </c>
      <c r="B13" s="4">
        <v>195.28922708889047</v>
      </c>
      <c r="E13" s="15"/>
      <c r="F13" s="14" t="s">
        <v>125</v>
      </c>
      <c r="G13" s="14" t="s">
        <v>126</v>
      </c>
      <c r="H13" s="14" t="s">
        <v>127</v>
      </c>
      <c r="I13" s="14" t="s">
        <v>128</v>
      </c>
      <c r="J13" s="14" t="s">
        <v>129</v>
      </c>
    </row>
    <row r="14" spans="1:10">
      <c r="A14" s="3">
        <v>98</v>
      </c>
      <c r="B14" s="4">
        <v>208.23779122154602</v>
      </c>
      <c r="E14" s="13" t="s">
        <v>130</v>
      </c>
      <c r="F14" s="12">
        <v>1</v>
      </c>
      <c r="G14" s="12">
        <v>44537.986405981137</v>
      </c>
      <c r="H14" s="12">
        <v>44537.986405981137</v>
      </c>
      <c r="I14" s="12">
        <v>64072.289285964245</v>
      </c>
      <c r="J14" s="12">
        <v>0</v>
      </c>
    </row>
    <row r="15" spans="1:10">
      <c r="A15" s="3">
        <v>105</v>
      </c>
      <c r="B15" s="4">
        <v>221.09526058787401</v>
      </c>
      <c r="E15" s="13" t="s">
        <v>131</v>
      </c>
      <c r="F15" s="12">
        <v>12</v>
      </c>
      <c r="G15" s="12">
        <v>8.3414506150454066</v>
      </c>
      <c r="H15" s="12">
        <v>0.69512088458711718</v>
      </c>
    </row>
    <row r="16" spans="1:10">
      <c r="E16" s="16" t="s">
        <v>132</v>
      </c>
      <c r="F16" s="17">
        <v>13</v>
      </c>
      <c r="G16" s="17">
        <v>44546.327856596181</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12.342233383345729</v>
      </c>
      <c r="G19" s="12">
        <v>0.52000929106644622</v>
      </c>
      <c r="H19" s="12">
        <v>23.734640121590928</v>
      </c>
      <c r="I19" s="12">
        <v>1.8741377719572788E-11</v>
      </c>
      <c r="J19" s="12">
        <v>11.209230483531451</v>
      </c>
      <c r="K19" s="12">
        <v>13.475236283160006</v>
      </c>
      <c r="L19" s="12">
        <v>11.209230483531451</v>
      </c>
      <c r="M19" s="12">
        <v>13.475236283160006</v>
      </c>
    </row>
    <row r="20" spans="5:13">
      <c r="E20" s="19" t="s">
        <v>104</v>
      </c>
      <c r="F20" s="17">
        <v>1.9988331740042682</v>
      </c>
      <c r="G20" s="17">
        <v>7.8966234269006695E-3</v>
      </c>
      <c r="H20" s="17">
        <v>253.12504673770246</v>
      </c>
      <c r="I20" s="17">
        <v>9.7257907578029909E-24</v>
      </c>
      <c r="J20" s="17">
        <v>1.9816279098001011</v>
      </c>
      <c r="K20" s="17">
        <v>2.0160384382084353</v>
      </c>
      <c r="L20" s="17">
        <v>1.9816279098001011</v>
      </c>
      <c r="M20" s="17">
        <v>2.0160384382084353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25.663480319663101</v>
      </c>
    </row>
    <row r="2" spans="1:10">
      <c r="A2" s="3">
        <v>14</v>
      </c>
      <c r="B2" s="4">
        <v>41.541041195314854</v>
      </c>
    </row>
    <row r="3" spans="1:10">
      <c r="A3" s="3">
        <v>21</v>
      </c>
      <c r="B3" s="4">
        <v>55.467103263315174</v>
      </c>
      <c r="E3" s="13" t="s">
        <v>117</v>
      </c>
    </row>
    <row r="4" spans="1:10">
      <c r="A4" s="3">
        <v>28</v>
      </c>
      <c r="B4" s="4">
        <v>67.259321348892598</v>
      </c>
    </row>
    <row r="5" spans="1:10" ht="15" customHeight="1">
      <c r="A5" s="3">
        <v>35</v>
      </c>
      <c r="B5" s="4">
        <v>81.739904356450026</v>
      </c>
      <c r="E5" s="14" t="s">
        <v>118</v>
      </c>
      <c r="F5" s="15"/>
    </row>
    <row r="6" spans="1:10">
      <c r="A6" s="3">
        <v>42</v>
      </c>
      <c r="B6" s="4">
        <v>97.661536672919055</v>
      </c>
      <c r="E6" s="13" t="s">
        <v>119</v>
      </c>
      <c r="F6" s="12">
        <v>0.99989355379432676</v>
      </c>
    </row>
    <row r="7" spans="1:10">
      <c r="A7" s="3">
        <v>49</v>
      </c>
      <c r="B7" s="4">
        <v>111.48456853092992</v>
      </c>
      <c r="E7" s="13" t="s">
        <v>120</v>
      </c>
      <c r="F7" s="12">
        <v>0.99978711891944816</v>
      </c>
    </row>
    <row r="8" spans="1:10">
      <c r="A8" s="3">
        <v>56</v>
      </c>
      <c r="B8" s="4">
        <v>124.1421801419104</v>
      </c>
      <c r="E8" s="13" t="s">
        <v>121</v>
      </c>
      <c r="F8" s="12">
        <v>0.9997693788294022</v>
      </c>
    </row>
    <row r="9" spans="1:10">
      <c r="A9" s="3">
        <v>63</v>
      </c>
      <c r="B9" s="4">
        <v>139.21289715109737</v>
      </c>
      <c r="E9" s="13" t="s">
        <v>122</v>
      </c>
      <c r="F9" s="12">
        <v>0.88838959992812538</v>
      </c>
    </row>
    <row r="10" spans="1:10">
      <c r="A10" s="3">
        <v>70</v>
      </c>
      <c r="B10" s="4">
        <v>151.32976620042436</v>
      </c>
      <c r="E10" s="16" t="s">
        <v>123</v>
      </c>
      <c r="F10" s="17">
        <v>14</v>
      </c>
    </row>
    <row r="11" spans="1:10">
      <c r="A11" s="3">
        <v>77</v>
      </c>
      <c r="B11" s="4">
        <v>167.15069663956911</v>
      </c>
    </row>
    <row r="12" spans="1:10">
      <c r="A12" s="3">
        <v>84</v>
      </c>
      <c r="B12" s="4">
        <v>179.8310704893338</v>
      </c>
      <c r="E12" s="13" t="s">
        <v>124</v>
      </c>
    </row>
    <row r="13" spans="1:10" ht="15" customHeight="1">
      <c r="A13" s="3">
        <v>91</v>
      </c>
      <c r="B13" s="4">
        <v>195.04197624029541</v>
      </c>
      <c r="E13" s="15"/>
      <c r="F13" s="14" t="s">
        <v>125</v>
      </c>
      <c r="G13" s="14" t="s">
        <v>126</v>
      </c>
      <c r="H13" s="14" t="s">
        <v>127</v>
      </c>
      <c r="I13" s="14" t="s">
        <v>128</v>
      </c>
      <c r="J13" s="14" t="s">
        <v>129</v>
      </c>
    </row>
    <row r="14" spans="1:10">
      <c r="A14" s="3">
        <v>98</v>
      </c>
      <c r="B14" s="4">
        <v>209.10771376741747</v>
      </c>
      <c r="E14" s="13" t="s">
        <v>130</v>
      </c>
      <c r="F14" s="12">
        <v>1</v>
      </c>
      <c r="G14" s="12">
        <v>44479.372189508867</v>
      </c>
      <c r="H14" s="12">
        <v>44479.372189508867</v>
      </c>
      <c r="I14" s="12">
        <v>56357.499670406338</v>
      </c>
      <c r="J14" s="12">
        <v>0</v>
      </c>
    </row>
    <row r="15" spans="1:10">
      <c r="A15" s="3">
        <v>105</v>
      </c>
      <c r="B15" s="4">
        <v>222.56505841762902</v>
      </c>
      <c r="E15" s="13" t="s">
        <v>131</v>
      </c>
      <c r="F15" s="12">
        <v>12</v>
      </c>
      <c r="G15" s="12">
        <v>9.4708329751254574</v>
      </c>
      <c r="H15" s="12">
        <v>0.78923608126045475</v>
      </c>
    </row>
    <row r="16" spans="1:10">
      <c r="E16" s="16" t="s">
        <v>132</v>
      </c>
      <c r="F16" s="17">
        <v>13</v>
      </c>
      <c r="G16" s="17">
        <v>44488.84302248399</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12.828770803236807</v>
      </c>
      <c r="G19" s="12">
        <v>0.55409521612651269</v>
      </c>
      <c r="H19" s="12">
        <v>23.152646747102946</v>
      </c>
      <c r="I19" s="12">
        <v>2.5096740719332363E-11</v>
      </c>
      <c r="J19" s="12">
        <v>11.621501053580854</v>
      </c>
      <c r="K19" s="12">
        <v>14.036040552892761</v>
      </c>
      <c r="L19" s="12">
        <v>11.621501053580854</v>
      </c>
      <c r="M19" s="12">
        <v>14.036040552892761</v>
      </c>
    </row>
    <row r="20" spans="5:13">
      <c r="E20" s="19" t="s">
        <v>104</v>
      </c>
      <c r="F20" s="17">
        <v>1.9975174587877369</v>
      </c>
      <c r="G20" s="17">
        <v>8.4142367060882298E-3</v>
      </c>
      <c r="H20" s="17">
        <v>237.39734554203915</v>
      </c>
      <c r="I20" s="17">
        <v>2.0997812119438473E-23</v>
      </c>
      <c r="J20" s="17">
        <v>1.9791844121451077</v>
      </c>
      <c r="K20" s="17">
        <v>2.0158505054303659</v>
      </c>
      <c r="L20" s="17">
        <v>1.9791844121451077</v>
      </c>
      <c r="M20" s="17">
        <v>2.0158505054303659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25.222791552597428</v>
      </c>
    </row>
    <row r="2" spans="1:10">
      <c r="A2" s="3">
        <v>14</v>
      </c>
      <c r="B2" s="4">
        <v>39.799963590326811</v>
      </c>
    </row>
    <row r="3" spans="1:10">
      <c r="A3" s="3">
        <v>21</v>
      </c>
      <c r="B3" s="4">
        <v>54.200133686022475</v>
      </c>
      <c r="E3" s="13" t="s">
        <v>117</v>
      </c>
    </row>
    <row r="4" spans="1:10">
      <c r="A4" s="3">
        <v>28</v>
      </c>
      <c r="B4" s="4">
        <v>67.019438537530064</v>
      </c>
    </row>
    <row r="5" spans="1:10" ht="15" customHeight="1">
      <c r="A5" s="3">
        <v>35</v>
      </c>
      <c r="B5" s="4">
        <v>83.649910697807215</v>
      </c>
      <c r="E5" s="14" t="s">
        <v>118</v>
      </c>
      <c r="F5" s="15"/>
    </row>
    <row r="6" spans="1:10">
      <c r="A6" s="3">
        <v>42</v>
      </c>
      <c r="B6" s="4">
        <v>96.315255709405719</v>
      </c>
      <c r="E6" s="13" t="s">
        <v>119</v>
      </c>
      <c r="F6" s="12">
        <v>0.99991324255979175</v>
      </c>
    </row>
    <row r="7" spans="1:10">
      <c r="A7" s="3">
        <v>49</v>
      </c>
      <c r="B7" s="4">
        <v>110.13168707692974</v>
      </c>
      <c r="E7" s="13" t="s">
        <v>120</v>
      </c>
      <c r="F7" s="12">
        <v>0.99982649264643686</v>
      </c>
    </row>
    <row r="8" spans="1:10">
      <c r="A8" s="3">
        <v>56</v>
      </c>
      <c r="B8" s="4">
        <v>124.21691836633997</v>
      </c>
      <c r="E8" s="13" t="s">
        <v>121</v>
      </c>
      <c r="F8" s="12">
        <v>0.99981203370030669</v>
      </c>
    </row>
    <row r="9" spans="1:10">
      <c r="A9" s="3">
        <v>63</v>
      </c>
      <c r="B9" s="4">
        <v>137.44965403806765</v>
      </c>
      <c r="E9" s="13" t="s">
        <v>122</v>
      </c>
      <c r="F9" s="12">
        <v>0.80862253791580874</v>
      </c>
    </row>
    <row r="10" spans="1:10">
      <c r="A10" s="3">
        <v>70</v>
      </c>
      <c r="B10" s="4">
        <v>152.51166453850556</v>
      </c>
      <c r="E10" s="16" t="s">
        <v>123</v>
      </c>
      <c r="F10" s="17">
        <v>14</v>
      </c>
    </row>
    <row r="11" spans="1:10">
      <c r="A11" s="3">
        <v>77</v>
      </c>
      <c r="B11" s="4">
        <v>167.7046569247747</v>
      </c>
    </row>
    <row r="12" spans="1:10">
      <c r="A12" s="3">
        <v>84</v>
      </c>
      <c r="B12" s="4">
        <v>179.93267019919261</v>
      </c>
      <c r="E12" s="13" t="s">
        <v>124</v>
      </c>
    </row>
    <row r="13" spans="1:10" ht="15" customHeight="1">
      <c r="A13" s="3">
        <v>91</v>
      </c>
      <c r="B13" s="4">
        <v>195.46376627286634</v>
      </c>
      <c r="E13" s="15"/>
      <c r="F13" s="14" t="s">
        <v>125</v>
      </c>
      <c r="G13" s="14" t="s">
        <v>126</v>
      </c>
      <c r="H13" s="14" t="s">
        <v>127</v>
      </c>
      <c r="I13" s="14" t="s">
        <v>128</v>
      </c>
      <c r="J13" s="14" t="s">
        <v>129</v>
      </c>
    </row>
    <row r="14" spans="1:10">
      <c r="A14" s="3">
        <v>98</v>
      </c>
      <c r="B14" s="4">
        <v>208.2466103749245</v>
      </c>
      <c r="E14" s="13" t="s">
        <v>130</v>
      </c>
      <c r="F14" s="12">
        <v>1</v>
      </c>
      <c r="G14" s="12">
        <v>45214.703174880793</v>
      </c>
      <c r="H14" s="12">
        <v>45214.703174880793</v>
      </c>
      <c r="I14" s="12">
        <v>69149.333819989435</v>
      </c>
      <c r="J14" s="12">
        <v>0</v>
      </c>
    </row>
    <row r="15" spans="1:10">
      <c r="A15" s="3">
        <v>105</v>
      </c>
      <c r="B15" s="4">
        <v>223.85052283138725</v>
      </c>
      <c r="E15" s="13" t="s">
        <v>131</v>
      </c>
      <c r="F15" s="12">
        <v>12</v>
      </c>
      <c r="G15" s="12">
        <v>7.8464449059048418</v>
      </c>
      <c r="H15" s="12">
        <v>0.65387040882540348</v>
      </c>
    </row>
    <row r="16" spans="1:10">
      <c r="E16" s="16" t="s">
        <v>132</v>
      </c>
      <c r="F16" s="17">
        <v>13</v>
      </c>
      <c r="G16" s="17">
        <v>45222.549619786696</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11.633083205855996</v>
      </c>
      <c r="G19" s="12">
        <v>0.50434390491230274</v>
      </c>
      <c r="H19" s="12">
        <v>23.065775342082901</v>
      </c>
      <c r="I19" s="12">
        <v>2.6230616881680854E-11</v>
      </c>
      <c r="J19" s="12">
        <v>10.534212249920943</v>
      </c>
      <c r="K19" s="12">
        <v>12.73195416179105</v>
      </c>
      <c r="L19" s="12">
        <v>10.534212249920943</v>
      </c>
      <c r="M19" s="12">
        <v>12.73195416179105</v>
      </c>
    </row>
    <row r="20" spans="5:13">
      <c r="E20" s="19" t="s">
        <v>104</v>
      </c>
      <c r="F20" s="17">
        <v>2.0139612100385325</v>
      </c>
      <c r="G20" s="17">
        <v>7.6587360325378502E-3</v>
      </c>
      <c r="H20" s="17">
        <v>262.96260916713862</v>
      </c>
      <c r="I20" s="17">
        <v>6.1553341528463549E-24</v>
      </c>
      <c r="J20" s="17">
        <v>1.9972742579343081</v>
      </c>
      <c r="K20" s="17">
        <v>2.0306481621427568</v>
      </c>
      <c r="L20" s="17">
        <v>1.9972742579343081</v>
      </c>
      <c r="M20" s="17">
        <v>2.0306481621427568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27.542244206120372</v>
      </c>
    </row>
    <row r="2" spans="1:10">
      <c r="A2" s="3">
        <v>14</v>
      </c>
      <c r="B2" s="4">
        <v>40.707621029405182</v>
      </c>
    </row>
    <row r="3" spans="1:10">
      <c r="A3" s="3">
        <v>21</v>
      </c>
      <c r="B3" s="4">
        <v>55.198448161069244</v>
      </c>
      <c r="E3" s="13" t="s">
        <v>117</v>
      </c>
    </row>
    <row r="4" spans="1:10">
      <c r="A4" s="3">
        <v>28</v>
      </c>
      <c r="B4" s="4">
        <v>67.238677239907432</v>
      </c>
    </row>
    <row r="5" spans="1:10" ht="15" customHeight="1">
      <c r="A5" s="3">
        <v>35</v>
      </c>
      <c r="B5" s="4">
        <v>83.093129277631007</v>
      </c>
      <c r="E5" s="14" t="s">
        <v>118</v>
      </c>
      <c r="F5" s="15"/>
    </row>
    <row r="6" spans="1:10">
      <c r="A6" s="3">
        <v>42</v>
      </c>
      <c r="B6" s="4">
        <v>96.69686279528274</v>
      </c>
      <c r="E6" s="13" t="s">
        <v>119</v>
      </c>
      <c r="F6" s="12">
        <v>0.9999427037797749</v>
      </c>
    </row>
    <row r="7" spans="1:10">
      <c r="A7" s="3">
        <v>49</v>
      </c>
      <c r="B7" s="4">
        <v>110.10370817663879</v>
      </c>
      <c r="E7" s="13" t="s">
        <v>120</v>
      </c>
      <c r="F7" s="12">
        <v>0.99988541084240667</v>
      </c>
    </row>
    <row r="8" spans="1:10">
      <c r="A8" s="3">
        <v>56</v>
      </c>
      <c r="B8" s="4">
        <v>124.75556362498882</v>
      </c>
      <c r="E8" s="13" t="s">
        <v>121</v>
      </c>
      <c r="F8" s="12">
        <v>0.99987586174594045</v>
      </c>
    </row>
    <row r="9" spans="1:10">
      <c r="A9" s="3">
        <v>63</v>
      </c>
      <c r="B9" s="4">
        <v>139.84536909219653</v>
      </c>
      <c r="E9" s="13" t="s">
        <v>122</v>
      </c>
      <c r="F9" s="12">
        <v>0.65521950924770067</v>
      </c>
    </row>
    <row r="10" spans="1:10">
      <c r="A10" s="3">
        <v>70</v>
      </c>
      <c r="B10" s="4">
        <v>153.16986204229812</v>
      </c>
      <c r="E10" s="16" t="s">
        <v>123</v>
      </c>
      <c r="F10" s="17">
        <v>14</v>
      </c>
    </row>
    <row r="11" spans="1:10">
      <c r="A11" s="3">
        <v>77</v>
      </c>
      <c r="B11" s="4">
        <v>166.89503274236063</v>
      </c>
    </row>
    <row r="12" spans="1:10">
      <c r="A12" s="3">
        <v>84</v>
      </c>
      <c r="B12" s="4">
        <v>181.21751856364639</v>
      </c>
      <c r="E12" s="13" t="s">
        <v>124</v>
      </c>
    </row>
    <row r="13" spans="1:10" ht="15" customHeight="1">
      <c r="A13" s="3">
        <v>91</v>
      </c>
      <c r="B13" s="4">
        <v>195.45701455373194</v>
      </c>
      <c r="E13" s="15"/>
      <c r="F13" s="14" t="s">
        <v>125</v>
      </c>
      <c r="G13" s="14" t="s">
        <v>126</v>
      </c>
      <c r="H13" s="14" t="s">
        <v>127</v>
      </c>
      <c r="I13" s="14" t="s">
        <v>128</v>
      </c>
      <c r="J13" s="14" t="s">
        <v>129</v>
      </c>
    </row>
    <row r="14" spans="1:10">
      <c r="A14" s="3">
        <v>98</v>
      </c>
      <c r="B14" s="4">
        <v>208.19426441471433</v>
      </c>
      <c r="E14" s="13" t="s">
        <v>130</v>
      </c>
      <c r="F14" s="12">
        <v>1</v>
      </c>
      <c r="G14" s="12">
        <v>44953.301315182543</v>
      </c>
      <c r="H14" s="12">
        <v>44953.301315182543</v>
      </c>
      <c r="I14" s="12">
        <v>104709.94972042681</v>
      </c>
      <c r="J14" s="12">
        <v>0</v>
      </c>
    </row>
    <row r="15" spans="1:10">
      <c r="A15" s="3">
        <v>105</v>
      </c>
      <c r="B15" s="4">
        <v>223.54058980209774</v>
      </c>
      <c r="E15" s="13" t="s">
        <v>131</v>
      </c>
      <c r="F15" s="12">
        <v>12</v>
      </c>
      <c r="G15" s="12">
        <v>5.151751263585572</v>
      </c>
      <c r="H15" s="12">
        <v>0.42931260529879767</v>
      </c>
    </row>
    <row r="16" spans="1:10">
      <c r="E16" s="16" t="s">
        <v>132</v>
      </c>
      <c r="F16" s="17">
        <v>13</v>
      </c>
      <c r="G16" s="17">
        <v>44958.453066446127</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12.381463011755613</v>
      </c>
      <c r="G19" s="12">
        <v>0.40866529236304083</v>
      </c>
      <c r="H19" s="12">
        <v>30.297319696913359</v>
      </c>
      <c r="I19" s="12">
        <v>1.0474187604697786E-12</v>
      </c>
      <c r="J19" s="12">
        <v>11.491057841587969</v>
      </c>
      <c r="K19" s="12">
        <v>13.271868181923258</v>
      </c>
      <c r="L19" s="12">
        <v>11.491057841587969</v>
      </c>
      <c r="M19" s="12">
        <v>13.271868181923258</v>
      </c>
    </row>
    <row r="20" spans="5:13">
      <c r="E20" s="19" t="s">
        <v>104</v>
      </c>
      <c r="F20" s="17">
        <v>2.0081310676487298</v>
      </c>
      <c r="G20" s="17">
        <v>6.2058043517204146E-3</v>
      </c>
      <c r="H20" s="17">
        <v>323.5891681135617</v>
      </c>
      <c r="I20" s="17">
        <v>5.1073369710656838E-25</v>
      </c>
      <c r="J20" s="17">
        <v>1.9946097816890895</v>
      </c>
      <c r="K20" s="17">
        <v>2.0216523536083701</v>
      </c>
      <c r="L20" s="17">
        <v>1.9946097816890895</v>
      </c>
      <c r="M20" s="17">
        <v>2.0216523536083701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25.93059859175197</v>
      </c>
    </row>
    <row r="2" spans="1:10">
      <c r="A2" s="3">
        <v>14</v>
      </c>
      <c r="B2" s="4">
        <v>40.240193914780704</v>
      </c>
    </row>
    <row r="3" spans="1:10">
      <c r="A3" s="3">
        <v>21</v>
      </c>
      <c r="B3" s="4">
        <v>55.895915559399143</v>
      </c>
      <c r="E3" s="13" t="s">
        <v>117</v>
      </c>
    </row>
    <row r="4" spans="1:10">
      <c r="A4" s="3">
        <v>28</v>
      </c>
      <c r="B4" s="4">
        <v>67.635744879719994</v>
      </c>
    </row>
    <row r="5" spans="1:10" ht="15" customHeight="1">
      <c r="A5" s="3">
        <v>35</v>
      </c>
      <c r="B5" s="4">
        <v>83.96067314233629</v>
      </c>
      <c r="E5" s="14" t="s">
        <v>118</v>
      </c>
      <c r="F5" s="15"/>
    </row>
    <row r="6" spans="1:10">
      <c r="A6" s="3">
        <v>42</v>
      </c>
      <c r="B6" s="4">
        <v>97.163581875046077</v>
      </c>
      <c r="E6" s="13" t="s">
        <v>119</v>
      </c>
      <c r="F6" s="12">
        <v>0.99988137045491166</v>
      </c>
    </row>
    <row r="7" spans="1:10">
      <c r="A7" s="3">
        <v>49</v>
      </c>
      <c r="B7" s="4">
        <v>110.29844250843499</v>
      </c>
      <c r="E7" s="13" t="s">
        <v>120</v>
      </c>
      <c r="F7" s="12">
        <v>0.99976275498279221</v>
      </c>
    </row>
    <row r="8" spans="1:10">
      <c r="A8" s="3">
        <v>56</v>
      </c>
      <c r="B8" s="4">
        <v>123.04777255322976</v>
      </c>
      <c r="E8" s="13" t="s">
        <v>121</v>
      </c>
      <c r="F8" s="12">
        <v>0.99974298456469146</v>
      </c>
    </row>
    <row r="9" spans="1:10">
      <c r="A9" s="3">
        <v>63</v>
      </c>
      <c r="B9" s="4">
        <v>139.22706489538348</v>
      </c>
      <c r="E9" s="13" t="s">
        <v>122</v>
      </c>
      <c r="F9" s="12">
        <v>0.93977304417244956</v>
      </c>
    </row>
    <row r="10" spans="1:10">
      <c r="A10" s="3">
        <v>70</v>
      </c>
      <c r="B10" s="4">
        <v>152.52704876981934</v>
      </c>
      <c r="E10" s="16" t="s">
        <v>123</v>
      </c>
      <c r="F10" s="17">
        <v>14</v>
      </c>
    </row>
    <row r="11" spans="1:10">
      <c r="A11" s="3">
        <v>77</v>
      </c>
      <c r="B11" s="4">
        <v>167.01177325867062</v>
      </c>
    </row>
    <row r="12" spans="1:10">
      <c r="A12" s="3">
        <v>84</v>
      </c>
      <c r="B12" s="4">
        <v>181.16438878607312</v>
      </c>
      <c r="E12" s="13" t="s">
        <v>124</v>
      </c>
    </row>
    <row r="13" spans="1:10" ht="15" customHeight="1">
      <c r="A13" s="3">
        <v>91</v>
      </c>
      <c r="B13" s="4">
        <v>195.78301867881473</v>
      </c>
      <c r="E13" s="15"/>
      <c r="F13" s="14" t="s">
        <v>125</v>
      </c>
      <c r="G13" s="14" t="s">
        <v>126</v>
      </c>
      <c r="H13" s="14" t="s">
        <v>127</v>
      </c>
      <c r="I13" s="14" t="s">
        <v>128</v>
      </c>
      <c r="J13" s="14" t="s">
        <v>129</v>
      </c>
    </row>
    <row r="14" spans="1:10">
      <c r="A14" s="3">
        <v>98</v>
      </c>
      <c r="B14" s="4">
        <v>209.48427132420855</v>
      </c>
      <c r="E14" s="13" t="s">
        <v>130</v>
      </c>
      <c r="F14" s="12">
        <v>1</v>
      </c>
      <c r="G14" s="12">
        <v>44660.858540039757</v>
      </c>
      <c r="H14" s="12">
        <v>44660.858540039757</v>
      </c>
      <c r="I14" s="12">
        <v>50568.619737473637</v>
      </c>
      <c r="J14" s="12">
        <v>0</v>
      </c>
    </row>
    <row r="15" spans="1:10">
      <c r="A15" s="3">
        <v>105</v>
      </c>
      <c r="B15" s="4">
        <v>221.75787545135552</v>
      </c>
      <c r="E15" s="13" t="s">
        <v>131</v>
      </c>
      <c r="F15" s="12">
        <v>12</v>
      </c>
      <c r="G15" s="12">
        <v>10.598080494637834</v>
      </c>
      <c r="H15" s="12">
        <v>0.88317337455315281</v>
      </c>
    </row>
    <row r="16" spans="1:10">
      <c r="E16" s="16" t="s">
        <v>132</v>
      </c>
      <c r="F16" s="17">
        <v>13</v>
      </c>
      <c r="G16" s="17">
        <v>44671.456620534394</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12.705325721537179</v>
      </c>
      <c r="G19" s="12">
        <v>0.58614345334832041</v>
      </c>
      <c r="H19" s="12">
        <v>21.676136872225609</v>
      </c>
      <c r="I19" s="12">
        <v>5.4398735927094331E-11</v>
      </c>
      <c r="J19" s="12">
        <v>11.428228862385208</v>
      </c>
      <c r="K19" s="12">
        <v>13.98242258068915</v>
      </c>
      <c r="L19" s="12">
        <v>11.428228862385208</v>
      </c>
      <c r="M19" s="12">
        <v>13.98242258068915</v>
      </c>
    </row>
    <row r="20" spans="5:13">
      <c r="E20" s="19" t="s">
        <v>104</v>
      </c>
      <c r="F20" s="17">
        <v>2.0015884819876995</v>
      </c>
      <c r="G20" s="17">
        <v>8.9009065890774154E-3</v>
      </c>
      <c r="H20" s="17">
        <v>224.87467562505512</v>
      </c>
      <c r="I20" s="17">
        <v>4.0228958058153995E-23</v>
      </c>
      <c r="J20" s="17">
        <v>1.9821950727743396</v>
      </c>
      <c r="K20" s="17">
        <v>2.0209818912010591</v>
      </c>
      <c r="L20" s="17">
        <v>1.9821950727743396</v>
      </c>
      <c r="M20" s="17">
        <v>2.0209818912010591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cols>
    <col min="5" max="5" width="18.4140625" customWidth="1"/>
  </cols>
  <sheetData>
    <row r="1" spans="1:10">
      <c r="A1" s="3">
        <v>7</v>
      </c>
      <c r="B1" s="4">
        <v>25.546885280478634</v>
      </c>
    </row>
    <row r="2" spans="1:10">
      <c r="A2" s="3">
        <v>14</v>
      </c>
      <c r="B2" s="4">
        <v>40.896280347205078</v>
      </c>
    </row>
    <row r="3" spans="1:10">
      <c r="A3" s="3">
        <v>21</v>
      </c>
      <c r="B3" s="4">
        <v>55.839085901454389</v>
      </c>
      <c r="E3" s="13" t="s">
        <v>117</v>
      </c>
    </row>
    <row r="4" spans="1:10">
      <c r="A4" s="3">
        <v>28</v>
      </c>
      <c r="B4" s="4">
        <v>68.97199555046123</v>
      </c>
    </row>
    <row r="5" spans="1:10" ht="15" customHeight="1">
      <c r="A5" s="3">
        <v>35</v>
      </c>
      <c r="B5" s="4">
        <v>81.038647036292218</v>
      </c>
      <c r="E5" s="14" t="s">
        <v>118</v>
      </c>
      <c r="F5" s="15"/>
    </row>
    <row r="6" spans="1:10">
      <c r="A6" s="3">
        <v>42</v>
      </c>
      <c r="B6" s="4">
        <v>95.793066561862645</v>
      </c>
      <c r="E6" s="13" t="s">
        <v>119</v>
      </c>
      <c r="F6" s="12">
        <v>0.99987843595450421</v>
      </c>
    </row>
    <row r="7" spans="1:10">
      <c r="A7" s="3">
        <v>49</v>
      </c>
      <c r="B7" s="4">
        <v>109.79136577339084</v>
      </c>
      <c r="E7" s="13" t="s">
        <v>120</v>
      </c>
      <c r="F7" s="12">
        <v>0.99975688668682561</v>
      </c>
    </row>
    <row r="8" spans="1:10">
      <c r="A8" s="3">
        <v>56</v>
      </c>
      <c r="B8" s="4">
        <v>125.96767981771046</v>
      </c>
      <c r="E8" s="13" t="s">
        <v>121</v>
      </c>
      <c r="F8" s="12">
        <v>0.99973662724406109</v>
      </c>
    </row>
    <row r="9" spans="1:10">
      <c r="A9" s="3">
        <v>63</v>
      </c>
      <c r="B9" s="4">
        <v>139.62983466013017</v>
      </c>
      <c r="E9" s="13" t="s">
        <v>122</v>
      </c>
      <c r="F9" s="12">
        <v>0.94575538504374923</v>
      </c>
    </row>
    <row r="10" spans="1:10">
      <c r="A10" s="3">
        <v>70</v>
      </c>
      <c r="B10" s="4">
        <v>152.17870726389285</v>
      </c>
      <c r="E10" s="16" t="s">
        <v>123</v>
      </c>
      <c r="F10" s="17">
        <v>14</v>
      </c>
    </row>
    <row r="11" spans="1:10">
      <c r="A11" s="3">
        <v>77</v>
      </c>
      <c r="B11" s="4">
        <v>166.55820364681094</v>
      </c>
    </row>
    <row r="12" spans="1:10">
      <c r="A12" s="3">
        <v>84</v>
      </c>
      <c r="B12" s="4">
        <v>180.40385823704963</v>
      </c>
      <c r="E12" s="13" t="s">
        <v>124</v>
      </c>
    </row>
    <row r="13" spans="1:10" ht="15" customHeight="1">
      <c r="A13" s="3">
        <v>91</v>
      </c>
      <c r="B13" s="4">
        <v>193.62901231774612</v>
      </c>
      <c r="E13" s="15"/>
      <c r="F13" s="14" t="s">
        <v>125</v>
      </c>
      <c r="G13" s="14" t="s">
        <v>126</v>
      </c>
      <c r="H13" s="14" t="s">
        <v>127</v>
      </c>
      <c r="I13" s="14" t="s">
        <v>128</v>
      </c>
      <c r="J13" s="14" t="s">
        <v>129</v>
      </c>
    </row>
    <row r="14" spans="1:10">
      <c r="A14" s="3">
        <v>98</v>
      </c>
      <c r="B14" s="4">
        <v>208.89824141369979</v>
      </c>
      <c r="E14" s="13" t="s">
        <v>130</v>
      </c>
      <c r="F14" s="12">
        <v>1</v>
      </c>
      <c r="G14" s="12">
        <v>44139.209811449393</v>
      </c>
      <c r="H14" s="12">
        <v>44139.209811449393</v>
      </c>
      <c r="I14" s="12">
        <v>49347.699159686177</v>
      </c>
      <c r="J14" s="12">
        <v>0</v>
      </c>
    </row>
    <row r="15" spans="1:10">
      <c r="A15" s="3">
        <v>105</v>
      </c>
      <c r="B15" s="4">
        <v>221.04618042990313</v>
      </c>
      <c r="E15" s="13" t="s">
        <v>131</v>
      </c>
      <c r="F15" s="12">
        <v>12</v>
      </c>
      <c r="G15" s="12">
        <v>10.733438980071003</v>
      </c>
      <c r="H15" s="12">
        <v>0.89445324833925033</v>
      </c>
    </row>
    <row r="16" spans="1:10">
      <c r="E16" s="16" t="s">
        <v>132</v>
      </c>
      <c r="F16" s="17">
        <v>13</v>
      </c>
      <c r="G16" s="17">
        <v>44149.943250429467</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13.077493334435758</v>
      </c>
      <c r="G19" s="12">
        <v>0.5898746839461273</v>
      </c>
      <c r="H19" s="12">
        <v>22.169951839516667</v>
      </c>
      <c r="I19" s="12">
        <v>4.1768700671652712E-11</v>
      </c>
      <c r="J19" s="12">
        <v>11.792266822295238</v>
      </c>
      <c r="K19" s="12">
        <v>14.362719846576278</v>
      </c>
      <c r="L19" s="12">
        <v>11.792266822295238</v>
      </c>
      <c r="M19" s="12">
        <v>14.362719846576278</v>
      </c>
    </row>
    <row r="20" spans="5:13">
      <c r="E20" s="19" t="s">
        <v>104</v>
      </c>
      <c r="F20" s="17">
        <v>1.9898646485900482</v>
      </c>
      <c r="G20" s="17">
        <v>8.9575673515983785E-3</v>
      </c>
      <c r="H20" s="17">
        <v>222.14342024846499</v>
      </c>
      <c r="I20" s="17">
        <v>4.6581098892293333E-23</v>
      </c>
      <c r="J20" s="17">
        <v>1.9703477861820151</v>
      </c>
      <c r="K20" s="17">
        <v>2.0093815109980815</v>
      </c>
      <c r="L20" s="17">
        <v>1.9703477861820151</v>
      </c>
      <c r="M20" s="17">
        <v>2.0093815109980815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cols>
    <col min="5" max="5" width="18.4140625" customWidth="1"/>
  </cols>
  <sheetData>
    <row r="1" spans="1:10">
      <c r="A1" s="3">
        <v>7</v>
      </c>
      <c r="B1" s="4">
        <v>25.042272679135024</v>
      </c>
    </row>
    <row r="2" spans="1:10">
      <c r="A2" s="3">
        <v>14</v>
      </c>
      <c r="B2" s="4">
        <v>40.942502762675154</v>
      </c>
    </row>
    <row r="3" spans="1:10">
      <c r="A3" s="3">
        <v>21</v>
      </c>
      <c r="B3" s="4">
        <v>55.350247766195693</v>
      </c>
      <c r="E3" s="13" t="s">
        <v>117</v>
      </c>
    </row>
    <row r="4" spans="1:10">
      <c r="A4" s="3">
        <v>28</v>
      </c>
      <c r="B4" s="4">
        <v>67.000501867399024</v>
      </c>
    </row>
    <row r="5" spans="1:10" ht="15" customHeight="1">
      <c r="A5" s="3">
        <v>35</v>
      </c>
      <c r="B5" s="4">
        <v>82.033530555425415</v>
      </c>
      <c r="E5" s="14" t="s">
        <v>118</v>
      </c>
      <c r="F5" s="15"/>
    </row>
    <row r="6" spans="1:10">
      <c r="A6" s="3">
        <v>42</v>
      </c>
      <c r="B6" s="4">
        <v>95.512250684228334</v>
      </c>
      <c r="E6" s="13" t="s">
        <v>119</v>
      </c>
      <c r="F6" s="12">
        <v>0.99985818944406424</v>
      </c>
    </row>
    <row r="7" spans="1:10">
      <c r="A7" s="3">
        <v>49</v>
      </c>
      <c r="B7" s="4">
        <v>111.51719184376597</v>
      </c>
      <c r="E7" s="13" t="s">
        <v>120</v>
      </c>
      <c r="F7" s="12">
        <v>0.99971639899836229</v>
      </c>
    </row>
    <row r="8" spans="1:10">
      <c r="A8" s="3">
        <v>56</v>
      </c>
      <c r="B8" s="4">
        <v>125.30678391683961</v>
      </c>
      <c r="E8" s="13" t="s">
        <v>121</v>
      </c>
      <c r="F8" s="12">
        <v>0.99969276558155917</v>
      </c>
    </row>
    <row r="9" spans="1:10">
      <c r="A9" s="3">
        <v>63</v>
      </c>
      <c r="B9" s="4">
        <v>138.22006523010006</v>
      </c>
      <c r="E9" s="13" t="s">
        <v>122</v>
      </c>
      <c r="F9" s="12">
        <v>1.026041202855255</v>
      </c>
    </row>
    <row r="10" spans="1:10">
      <c r="A10" s="3">
        <v>70</v>
      </c>
      <c r="B10" s="4">
        <v>153.21297568124078</v>
      </c>
      <c r="E10" s="16" t="s">
        <v>123</v>
      </c>
      <c r="F10" s="17">
        <v>14</v>
      </c>
    </row>
    <row r="11" spans="1:10">
      <c r="A11" s="3">
        <v>77</v>
      </c>
      <c r="B11" s="4">
        <v>167.72557007904916</v>
      </c>
    </row>
    <row r="12" spans="1:10">
      <c r="A12" s="3">
        <v>84</v>
      </c>
      <c r="B12" s="4">
        <v>179.37126845734764</v>
      </c>
      <c r="E12" s="13" t="s">
        <v>124</v>
      </c>
    </row>
    <row r="13" spans="1:10" ht="15" customHeight="1">
      <c r="A13" s="3">
        <v>91</v>
      </c>
      <c r="B13" s="4">
        <v>193.19428437233941</v>
      </c>
      <c r="E13" s="15"/>
      <c r="F13" s="14" t="s">
        <v>125</v>
      </c>
      <c r="G13" s="14" t="s">
        <v>126</v>
      </c>
      <c r="H13" s="14" t="s">
        <v>127</v>
      </c>
      <c r="I13" s="14" t="s">
        <v>128</v>
      </c>
      <c r="J13" s="14" t="s">
        <v>129</v>
      </c>
    </row>
    <row r="14" spans="1:10">
      <c r="A14" s="3">
        <v>98</v>
      </c>
      <c r="B14" s="4">
        <v>207.75939588858</v>
      </c>
      <c r="E14" s="13" t="s">
        <v>130</v>
      </c>
      <c r="F14" s="12">
        <v>1</v>
      </c>
      <c r="G14" s="12">
        <v>44532.789937943089</v>
      </c>
      <c r="H14" s="12">
        <v>44532.789937943089</v>
      </c>
      <c r="I14" s="12">
        <v>42300.967622482123</v>
      </c>
      <c r="J14" s="12">
        <v>0</v>
      </c>
    </row>
    <row r="15" spans="1:10">
      <c r="A15" s="3">
        <v>105</v>
      </c>
      <c r="B15" s="4">
        <v>223.49913263975648</v>
      </c>
      <c r="E15" s="13" t="s">
        <v>131</v>
      </c>
      <c r="F15" s="12">
        <v>12</v>
      </c>
      <c r="G15" s="12">
        <v>12.633126599479903</v>
      </c>
      <c r="H15" s="12">
        <v>1.0527605499566586</v>
      </c>
    </row>
    <row r="16" spans="1:10">
      <c r="E16" s="16" t="s">
        <v>132</v>
      </c>
      <c r="F16" s="17">
        <v>13</v>
      </c>
      <c r="G16" s="17">
        <v>44545.423064542571</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12.551057441230114</v>
      </c>
      <c r="G19" s="12">
        <v>0.63994954701944473</v>
      </c>
      <c r="H19" s="12">
        <v>19.612573365644952</v>
      </c>
      <c r="I19" s="12">
        <v>1.7524369778116408E-10</v>
      </c>
      <c r="J19" s="12">
        <v>11.156727176436409</v>
      </c>
      <c r="K19" s="12">
        <v>13.945387706023819</v>
      </c>
      <c r="L19" s="12">
        <v>11.156727176436409</v>
      </c>
      <c r="M19" s="12">
        <v>13.945387706023819</v>
      </c>
    </row>
    <row r="20" spans="5:13">
      <c r="E20" s="19" t="s">
        <v>104</v>
      </c>
      <c r="F20" s="17">
        <v>1.9987165637067488</v>
      </c>
      <c r="G20" s="17">
        <v>9.7179813358036632E-3</v>
      </c>
      <c r="H20" s="17">
        <v>205.67199036933093</v>
      </c>
      <c r="I20" s="17">
        <v>1.1738466847221952E-22</v>
      </c>
      <c r="J20" s="17">
        <v>1.9775429015761625</v>
      </c>
      <c r="K20" s="17">
        <v>2.0198902258373348</v>
      </c>
      <c r="L20" s="17">
        <v>1.9775429015761625</v>
      </c>
      <c r="M20" s="17">
        <v>2.0198902258373348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25.755250359775477</v>
      </c>
    </row>
    <row r="2" spans="1:10">
      <c r="A2" s="3">
        <v>14</v>
      </c>
      <c r="B2" s="4">
        <v>41.100187599143844</v>
      </c>
    </row>
    <row r="3" spans="1:10">
      <c r="A3" s="3">
        <v>21</v>
      </c>
      <c r="B3" s="4">
        <v>55.424303719279401</v>
      </c>
      <c r="E3" s="13" t="s">
        <v>117</v>
      </c>
    </row>
    <row r="4" spans="1:10">
      <c r="A4" s="3">
        <v>28</v>
      </c>
      <c r="B4" s="4">
        <v>68.118466242866134</v>
      </c>
    </row>
    <row r="5" spans="1:10" ht="15" customHeight="1">
      <c r="A5" s="3">
        <v>35</v>
      </c>
      <c r="B5" s="4">
        <v>83.489497189241291</v>
      </c>
      <c r="E5" s="14" t="s">
        <v>118</v>
      </c>
      <c r="F5" s="15"/>
    </row>
    <row r="6" spans="1:10">
      <c r="A6" s="3">
        <v>42</v>
      </c>
      <c r="B6" s="4">
        <v>96.416734613579706</v>
      </c>
      <c r="E6" s="13" t="s">
        <v>119</v>
      </c>
      <c r="F6" s="12">
        <v>0.99993729915792673</v>
      </c>
    </row>
    <row r="7" spans="1:10">
      <c r="A7" s="3">
        <v>49</v>
      </c>
      <c r="B7" s="4">
        <v>111.61827498027215</v>
      </c>
      <c r="E7" s="13" t="s">
        <v>120</v>
      </c>
      <c r="F7" s="12">
        <v>0.999874602247249</v>
      </c>
    </row>
    <row r="8" spans="1:10">
      <c r="A8" s="3">
        <v>56</v>
      </c>
      <c r="B8" s="4">
        <v>123.75021786692041</v>
      </c>
      <c r="E8" s="13" t="s">
        <v>121</v>
      </c>
      <c r="F8" s="12">
        <v>0.99986415243451976</v>
      </c>
    </row>
    <row r="9" spans="1:10">
      <c r="A9" s="3">
        <v>63</v>
      </c>
      <c r="B9" s="4">
        <v>139.74444293400106</v>
      </c>
      <c r="E9" s="13" t="s">
        <v>122</v>
      </c>
      <c r="F9" s="12">
        <v>0.68297780786416362</v>
      </c>
    </row>
    <row r="10" spans="1:10">
      <c r="A10" s="3">
        <v>70</v>
      </c>
      <c r="B10" s="4">
        <v>152.21124500236314</v>
      </c>
      <c r="E10" s="16" t="s">
        <v>123</v>
      </c>
      <c r="F10" s="17">
        <v>14</v>
      </c>
    </row>
    <row r="11" spans="1:10">
      <c r="A11" s="3">
        <v>77</v>
      </c>
      <c r="B11" s="4">
        <v>166.63179244461043</v>
      </c>
    </row>
    <row r="12" spans="1:10">
      <c r="A12" s="3">
        <v>84</v>
      </c>
      <c r="B12" s="4">
        <v>181.25924101993772</v>
      </c>
      <c r="E12" s="13" t="s">
        <v>124</v>
      </c>
    </row>
    <row r="13" spans="1:10" ht="15" customHeight="1">
      <c r="A13" s="3">
        <v>91</v>
      </c>
      <c r="B13" s="4">
        <v>195.78193678580035</v>
      </c>
      <c r="E13" s="15"/>
      <c r="F13" s="14" t="s">
        <v>125</v>
      </c>
      <c r="G13" s="14" t="s">
        <v>126</v>
      </c>
      <c r="H13" s="14" t="s">
        <v>127</v>
      </c>
      <c r="I13" s="14" t="s">
        <v>128</v>
      </c>
      <c r="J13" s="14" t="s">
        <v>129</v>
      </c>
    </row>
    <row r="14" spans="1:10">
      <c r="A14" s="3">
        <v>98</v>
      </c>
      <c r="B14" s="4">
        <v>208.60111112863916</v>
      </c>
      <c r="E14" s="13" t="s">
        <v>130</v>
      </c>
      <c r="F14" s="12">
        <v>1</v>
      </c>
      <c r="G14" s="12">
        <v>44632.397273354058</v>
      </c>
      <c r="H14" s="12">
        <v>44632.397273354058</v>
      </c>
      <c r="I14" s="12">
        <v>95683.4948294028</v>
      </c>
      <c r="J14" s="12">
        <v>0</v>
      </c>
    </row>
    <row r="15" spans="1:10">
      <c r="A15" s="3">
        <v>105</v>
      </c>
      <c r="B15" s="4">
        <v>223.09056526480498</v>
      </c>
      <c r="E15" s="13" t="s">
        <v>131</v>
      </c>
      <c r="F15" s="12">
        <v>12</v>
      </c>
      <c r="G15" s="12">
        <v>5.5975042324192614</v>
      </c>
      <c r="H15" s="12">
        <v>0.46645868603493845</v>
      </c>
    </row>
    <row r="16" spans="1:10">
      <c r="E16" s="16" t="s">
        <v>132</v>
      </c>
      <c r="F16" s="17">
        <v>13</v>
      </c>
      <c r="G16" s="17">
        <v>44637.994777586478</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12.889011999952913</v>
      </c>
      <c r="G19" s="12">
        <v>0.42597835013908608</v>
      </c>
      <c r="H19" s="12">
        <v>30.257434434741871</v>
      </c>
      <c r="I19" s="12">
        <v>1.0639060362768814E-12</v>
      </c>
      <c r="J19" s="12">
        <v>11.960884917885036</v>
      </c>
      <c r="K19" s="12">
        <v>13.817139082020791</v>
      </c>
      <c r="L19" s="12">
        <v>11.960884917885036</v>
      </c>
      <c r="M19" s="12">
        <v>13.817139082020791</v>
      </c>
    </row>
    <row r="20" spans="5:13">
      <c r="E20" s="19" t="s">
        <v>104</v>
      </c>
      <c r="F20" s="17">
        <v>2.0009505987900589</v>
      </c>
      <c r="G20" s="17">
        <v>6.468712534274665E-3</v>
      </c>
      <c r="H20" s="17">
        <v>309.32748799517105</v>
      </c>
      <c r="I20" s="17">
        <v>8.7715003668852504E-25</v>
      </c>
      <c r="J20" s="17">
        <v>1.9868564851168828</v>
      </c>
      <c r="K20" s="17">
        <v>2.0150447124632347</v>
      </c>
      <c r="L20" s="17">
        <v>1.9868564851168828</v>
      </c>
      <c r="M20" s="17">
        <v>2.0150447124632347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25.066945508920909</v>
      </c>
    </row>
    <row r="2" spans="1:10">
      <c r="A2" s="3">
        <v>14</v>
      </c>
      <c r="B2" s="4">
        <v>40.364328492313319</v>
      </c>
    </row>
    <row r="3" spans="1:10">
      <c r="A3" s="3">
        <v>21</v>
      </c>
      <c r="B3" s="4">
        <v>54.412105112503369</v>
      </c>
      <c r="E3" s="13" t="s">
        <v>117</v>
      </c>
    </row>
    <row r="4" spans="1:10">
      <c r="A4" s="3">
        <v>28</v>
      </c>
      <c r="B4" s="4">
        <v>69.924825421929071</v>
      </c>
    </row>
    <row r="5" spans="1:10" ht="15" customHeight="1">
      <c r="A5" s="3">
        <v>35</v>
      </c>
      <c r="B5" s="4">
        <v>82.669132092801902</v>
      </c>
      <c r="E5" s="14" t="s">
        <v>118</v>
      </c>
      <c r="F5" s="15"/>
    </row>
    <row r="6" spans="1:10">
      <c r="A6" s="3">
        <v>42</v>
      </c>
      <c r="B6" s="4">
        <v>96.04667123975706</v>
      </c>
      <c r="E6" s="13" t="s">
        <v>119</v>
      </c>
      <c r="F6" s="12">
        <v>0.99992992530671521</v>
      </c>
    </row>
    <row r="7" spans="1:10">
      <c r="A7" s="3">
        <v>49</v>
      </c>
      <c r="B7" s="4">
        <v>110.27156150648644</v>
      </c>
      <c r="E7" s="13" t="s">
        <v>120</v>
      </c>
      <c r="F7" s="12">
        <v>0.99985985552389312</v>
      </c>
    </row>
    <row r="8" spans="1:10">
      <c r="A8" s="3">
        <v>56</v>
      </c>
      <c r="B8" s="4">
        <v>123.90338242375822</v>
      </c>
      <c r="E8" s="13" t="s">
        <v>121</v>
      </c>
      <c r="F8" s="12">
        <v>0.99984817681755089</v>
      </c>
    </row>
    <row r="9" spans="1:10">
      <c r="A9" s="3">
        <v>63</v>
      </c>
      <c r="B9" s="4">
        <v>137.67659328517951</v>
      </c>
      <c r="E9" s="13" t="s">
        <v>122</v>
      </c>
      <c r="F9" s="12">
        <v>0.71964660964184213</v>
      </c>
    </row>
    <row r="10" spans="1:10">
      <c r="A10" s="3">
        <v>70</v>
      </c>
      <c r="B10" s="4">
        <v>153.02782354903655</v>
      </c>
      <c r="E10" s="16" t="s">
        <v>123</v>
      </c>
      <c r="F10" s="17">
        <v>14</v>
      </c>
    </row>
    <row r="11" spans="1:10">
      <c r="A11" s="3">
        <v>77</v>
      </c>
      <c r="B11" s="4">
        <v>166.62471656169186</v>
      </c>
    </row>
    <row r="12" spans="1:10">
      <c r="A12" s="3">
        <v>84</v>
      </c>
      <c r="B12" s="4">
        <v>180.03321775206354</v>
      </c>
      <c r="E12" s="13" t="s">
        <v>124</v>
      </c>
    </row>
    <row r="13" spans="1:10" ht="15" customHeight="1">
      <c r="A13" s="3">
        <v>91</v>
      </c>
      <c r="B13" s="4">
        <v>193.49176144282117</v>
      </c>
      <c r="E13" s="15"/>
      <c r="F13" s="14" t="s">
        <v>125</v>
      </c>
      <c r="G13" s="14" t="s">
        <v>126</v>
      </c>
      <c r="H13" s="14" t="s">
        <v>127</v>
      </c>
      <c r="I13" s="14" t="s">
        <v>128</v>
      </c>
      <c r="J13" s="14" t="s">
        <v>129</v>
      </c>
    </row>
    <row r="14" spans="1:10">
      <c r="A14" s="3">
        <v>98</v>
      </c>
      <c r="B14" s="4">
        <v>207.48623134467391</v>
      </c>
      <c r="E14" s="13" t="s">
        <v>130</v>
      </c>
      <c r="F14" s="12">
        <v>1</v>
      </c>
      <c r="G14" s="12">
        <v>44338.700537354227</v>
      </c>
      <c r="H14" s="12">
        <v>44338.700537354227</v>
      </c>
      <c r="I14" s="12">
        <v>85613.92214374867</v>
      </c>
      <c r="J14" s="12">
        <v>0</v>
      </c>
    </row>
    <row r="15" spans="1:10">
      <c r="A15" s="3">
        <v>105</v>
      </c>
      <c r="B15" s="4">
        <v>223.41248544593776</v>
      </c>
      <c r="E15" s="13" t="s">
        <v>131</v>
      </c>
      <c r="F15" s="12">
        <v>12</v>
      </c>
      <c r="G15" s="12">
        <v>6.2146949132279747</v>
      </c>
      <c r="H15" s="12">
        <v>0.51789124276899789</v>
      </c>
    </row>
    <row r="16" spans="1:10">
      <c r="E16" s="16" t="s">
        <v>132</v>
      </c>
      <c r="F16" s="17">
        <v>13</v>
      </c>
      <c r="G16" s="17">
        <v>44344.915232267456</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12.717576725953563</v>
      </c>
      <c r="G19" s="12">
        <v>0.44884895516164242</v>
      </c>
      <c r="H19" s="12">
        <v>28.333755887598372</v>
      </c>
      <c r="I19" s="12">
        <v>2.3165786312954816E-12</v>
      </c>
      <c r="J19" s="12">
        <v>11.739618876904732</v>
      </c>
      <c r="K19" s="12">
        <v>13.695534575002394</v>
      </c>
      <c r="L19" s="12">
        <v>11.739618876904732</v>
      </c>
      <c r="M19" s="12">
        <v>13.695534575002394</v>
      </c>
    </row>
    <row r="20" spans="5:13">
      <c r="E20" s="19" t="s">
        <v>104</v>
      </c>
      <c r="F20" s="17">
        <v>1.9943562563116508</v>
      </c>
      <c r="G20" s="17">
        <v>6.8160150892696558E-3</v>
      </c>
      <c r="H20" s="17">
        <v>292.59856825307418</v>
      </c>
      <c r="I20" s="17">
        <v>1.7092044540940942E-24</v>
      </c>
      <c r="J20" s="17">
        <v>1.9795054353859654</v>
      </c>
      <c r="K20" s="17">
        <v>2.009207077237336</v>
      </c>
      <c r="L20" s="17">
        <v>1.9795054353859654</v>
      </c>
      <c r="M20" s="17">
        <v>2.009207077237336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26.375399832745828</v>
      </c>
    </row>
    <row r="2" spans="1:10">
      <c r="A2" s="3">
        <v>14</v>
      </c>
      <c r="B2" s="4">
        <v>40.984685577648591</v>
      </c>
    </row>
    <row r="3" spans="1:10">
      <c r="A3" s="3">
        <v>21</v>
      </c>
      <c r="B3" s="4">
        <v>54.576171434007378</v>
      </c>
      <c r="E3" s="13" t="s">
        <v>117</v>
      </c>
    </row>
    <row r="4" spans="1:10">
      <c r="A4" s="3">
        <v>28</v>
      </c>
      <c r="B4" s="4">
        <v>68.398958898188823</v>
      </c>
    </row>
    <row r="5" spans="1:10" ht="15" customHeight="1">
      <c r="A5" s="3">
        <v>35</v>
      </c>
      <c r="B5" s="4">
        <v>81.078101274797717</v>
      </c>
      <c r="E5" s="14" t="s">
        <v>118</v>
      </c>
      <c r="F5" s="15"/>
    </row>
    <row r="6" spans="1:10">
      <c r="A6" s="3">
        <v>42</v>
      </c>
      <c r="B6" s="4">
        <v>96.781617990925511</v>
      </c>
      <c r="E6" s="13" t="s">
        <v>119</v>
      </c>
      <c r="F6" s="12">
        <v>0.99989952629245205</v>
      </c>
    </row>
    <row r="7" spans="1:10">
      <c r="A7" s="3">
        <v>49</v>
      </c>
      <c r="B7" s="4">
        <v>111.51023760806854</v>
      </c>
      <c r="E7" s="13" t="s">
        <v>120</v>
      </c>
      <c r="F7" s="12">
        <v>0.99979906267986995</v>
      </c>
    </row>
    <row r="8" spans="1:10">
      <c r="A8" s="3">
        <v>56</v>
      </c>
      <c r="B8" s="4">
        <v>125.38690013673713</v>
      </c>
      <c r="E8" s="13" t="s">
        <v>121</v>
      </c>
      <c r="F8" s="12">
        <v>0.9997823179031925</v>
      </c>
    </row>
    <row r="9" spans="1:10">
      <c r="A9" s="3">
        <v>63</v>
      </c>
      <c r="B9" s="4">
        <v>139.67749927844034</v>
      </c>
      <c r="E9" s="13" t="s">
        <v>122</v>
      </c>
      <c r="F9" s="12">
        <v>0.87038907212438266</v>
      </c>
    </row>
    <row r="10" spans="1:10">
      <c r="A10" s="3">
        <v>70</v>
      </c>
      <c r="B10" s="4">
        <v>152.0294918916957</v>
      </c>
      <c r="E10" s="16" t="s">
        <v>123</v>
      </c>
      <c r="F10" s="17">
        <v>14</v>
      </c>
    </row>
    <row r="11" spans="1:10">
      <c r="A11" s="3">
        <v>77</v>
      </c>
      <c r="B11" s="4">
        <v>165.40385080278872</v>
      </c>
    </row>
    <row r="12" spans="1:10">
      <c r="A12" s="3">
        <v>84</v>
      </c>
      <c r="B12" s="4">
        <v>181.80952366188004</v>
      </c>
      <c r="E12" s="13" t="s">
        <v>124</v>
      </c>
    </row>
    <row r="13" spans="1:10" ht="15" customHeight="1">
      <c r="A13" s="3">
        <v>91</v>
      </c>
      <c r="B13" s="4">
        <v>195.96734066784961</v>
      </c>
      <c r="E13" s="15"/>
      <c r="F13" s="14" t="s">
        <v>125</v>
      </c>
      <c r="G13" s="14" t="s">
        <v>126</v>
      </c>
      <c r="H13" s="14" t="s">
        <v>127</v>
      </c>
      <c r="I13" s="14" t="s">
        <v>128</v>
      </c>
      <c r="J13" s="14" t="s">
        <v>129</v>
      </c>
    </row>
    <row r="14" spans="1:10">
      <c r="A14" s="3">
        <v>98</v>
      </c>
      <c r="B14" s="4">
        <v>209.74957159737852</v>
      </c>
      <c r="E14" s="13" t="s">
        <v>130</v>
      </c>
      <c r="F14" s="12">
        <v>1</v>
      </c>
      <c r="G14" s="12">
        <v>45233.503315186303</v>
      </c>
      <c r="H14" s="12">
        <v>45233.503315186303</v>
      </c>
      <c r="I14" s="12">
        <v>59708.115667087193</v>
      </c>
      <c r="J14" s="12">
        <v>0</v>
      </c>
    </row>
    <row r="15" spans="1:10">
      <c r="A15" s="3">
        <v>105</v>
      </c>
      <c r="B15" s="4">
        <v>223.80757427117257</v>
      </c>
      <c r="E15" s="13" t="s">
        <v>131</v>
      </c>
      <c r="F15" s="12">
        <v>12</v>
      </c>
      <c r="G15" s="12">
        <v>9.0909256424825262</v>
      </c>
      <c r="H15" s="12">
        <v>0.75757713687354389</v>
      </c>
    </row>
    <row r="16" spans="1:10">
      <c r="E16" s="16" t="s">
        <v>132</v>
      </c>
      <c r="F16" s="17">
        <v>13</v>
      </c>
      <c r="G16" s="17">
        <v>45242.594240828788</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12.084506902670682</v>
      </c>
      <c r="G19" s="12">
        <v>0.54286815274732292</v>
      </c>
      <c r="H19" s="12">
        <v>22.260482294851798</v>
      </c>
      <c r="I19" s="12">
        <v>3.9818176540903411E-11</v>
      </c>
      <c r="J19" s="12">
        <v>10.901698822418624</v>
      </c>
      <c r="K19" s="12">
        <v>13.267314982922741</v>
      </c>
      <c r="L19" s="12">
        <v>10.901698822418624</v>
      </c>
      <c r="M19" s="12">
        <v>13.267314982922741</v>
      </c>
    </row>
    <row r="20" spans="5:13">
      <c r="E20" s="19" t="s">
        <v>104</v>
      </c>
      <c r="F20" s="17">
        <v>2.0143798660914651</v>
      </c>
      <c r="G20" s="17">
        <v>8.2437476528761395E-3</v>
      </c>
      <c r="H20" s="17">
        <v>244.352441500156</v>
      </c>
      <c r="I20" s="17">
        <v>1.4849542078472314E-23</v>
      </c>
      <c r="J20" s="17">
        <v>1.9964182831803392</v>
      </c>
      <c r="K20" s="17">
        <v>2.0323414490025913</v>
      </c>
      <c r="L20" s="17">
        <v>1.9964182831803392</v>
      </c>
      <c r="M20" s="17">
        <v>2.0323414490025913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25.436837016423009</v>
      </c>
    </row>
    <row r="2" spans="1:10">
      <c r="A2" s="3">
        <v>14</v>
      </c>
      <c r="B2" s="4">
        <v>40.987952739391027</v>
      </c>
    </row>
    <row r="3" spans="1:10">
      <c r="A3" s="3">
        <v>21</v>
      </c>
      <c r="B3" s="4">
        <v>54.143556217799976</v>
      </c>
      <c r="E3" s="13" t="s">
        <v>117</v>
      </c>
    </row>
    <row r="4" spans="1:10">
      <c r="A4" s="3">
        <v>28</v>
      </c>
      <c r="B4" s="4">
        <v>69.103015301947238</v>
      </c>
    </row>
    <row r="5" spans="1:10" ht="15" customHeight="1">
      <c r="A5" s="3">
        <v>35</v>
      </c>
      <c r="B5" s="4">
        <v>82.184826705171218</v>
      </c>
      <c r="E5" s="14" t="s">
        <v>118</v>
      </c>
      <c r="F5" s="15"/>
    </row>
    <row r="6" spans="1:10">
      <c r="A6" s="3">
        <v>42</v>
      </c>
      <c r="B6" s="4">
        <v>95.935481090205641</v>
      </c>
      <c r="E6" s="13" t="s">
        <v>119</v>
      </c>
      <c r="F6" s="12">
        <v>0.99991588577332835</v>
      </c>
    </row>
    <row r="7" spans="1:10">
      <c r="A7" s="3">
        <v>49</v>
      </c>
      <c r="B7" s="4">
        <v>109.46541817469708</v>
      </c>
      <c r="E7" s="13" t="s">
        <v>120</v>
      </c>
      <c r="F7" s="12">
        <v>0.99983177862185979</v>
      </c>
    </row>
    <row r="8" spans="1:10">
      <c r="A8" s="3">
        <v>56</v>
      </c>
      <c r="B8" s="4">
        <v>124.18809457688653</v>
      </c>
      <c r="E8" s="13" t="s">
        <v>121</v>
      </c>
      <c r="F8" s="12">
        <v>0.9998177601736814</v>
      </c>
    </row>
    <row r="9" spans="1:10">
      <c r="A9" s="3">
        <v>63</v>
      </c>
      <c r="B9" s="4">
        <v>137.26576976142104</v>
      </c>
      <c r="E9" s="13" t="s">
        <v>122</v>
      </c>
      <c r="F9" s="12">
        <v>0.79084202343745236</v>
      </c>
    </row>
    <row r="10" spans="1:10">
      <c r="A10" s="3">
        <v>70</v>
      </c>
      <c r="B10" s="4">
        <v>151.04213572982454</v>
      </c>
      <c r="E10" s="16" t="s">
        <v>123</v>
      </c>
      <c r="F10" s="17">
        <v>14</v>
      </c>
    </row>
    <row r="11" spans="1:10">
      <c r="A11" s="3">
        <v>77</v>
      </c>
      <c r="B11" s="4">
        <v>167.32225794226139</v>
      </c>
    </row>
    <row r="12" spans="1:10">
      <c r="A12" s="3">
        <v>84</v>
      </c>
      <c r="B12" s="4">
        <v>181.12746448625143</v>
      </c>
      <c r="E12" s="13" t="s">
        <v>124</v>
      </c>
    </row>
    <row r="13" spans="1:10" ht="15" customHeight="1">
      <c r="A13" s="3">
        <v>91</v>
      </c>
      <c r="B13" s="4">
        <v>195.16795185614146</v>
      </c>
      <c r="E13" s="15"/>
      <c r="F13" s="14" t="s">
        <v>125</v>
      </c>
      <c r="G13" s="14" t="s">
        <v>126</v>
      </c>
      <c r="H13" s="14" t="s">
        <v>127</v>
      </c>
      <c r="I13" s="14" t="s">
        <v>128</v>
      </c>
      <c r="J13" s="14" t="s">
        <v>129</v>
      </c>
    </row>
    <row r="14" spans="1:10">
      <c r="A14" s="3">
        <v>98</v>
      </c>
      <c r="B14" s="4">
        <v>207.7282268557214</v>
      </c>
      <c r="E14" s="13" t="s">
        <v>130</v>
      </c>
      <c r="F14" s="12">
        <v>1</v>
      </c>
      <c r="G14" s="12">
        <v>44607.355050740327</v>
      </c>
      <c r="H14" s="12">
        <v>44607.355050740327</v>
      </c>
      <c r="I14" s="12">
        <v>71322.571935316286</v>
      </c>
      <c r="J14" s="12">
        <v>0</v>
      </c>
    </row>
    <row r="15" spans="1:10">
      <c r="A15" s="3">
        <v>105</v>
      </c>
      <c r="B15" s="4">
        <v>222.51745607018708</v>
      </c>
      <c r="E15" s="13" t="s">
        <v>131</v>
      </c>
      <c r="F15" s="12">
        <v>12</v>
      </c>
      <c r="G15" s="12">
        <v>7.5051732724157283</v>
      </c>
      <c r="H15" s="12">
        <v>0.62543110603464402</v>
      </c>
    </row>
    <row r="16" spans="1:10">
      <c r="E16" s="16" t="s">
        <v>132</v>
      </c>
      <c r="F16" s="17">
        <v>13</v>
      </c>
      <c r="G16" s="17">
        <v>44614.860224012744</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12.275387415388195</v>
      </c>
      <c r="G19" s="12">
        <v>0.49325406548428324</v>
      </c>
      <c r="H19" s="12">
        <v>24.886540779620457</v>
      </c>
      <c r="I19" s="12">
        <v>1.0724766055839172E-11</v>
      </c>
      <c r="J19" s="12">
        <v>11.200679143555675</v>
      </c>
      <c r="K19" s="12">
        <v>13.350095687220715</v>
      </c>
      <c r="L19" s="12">
        <v>11.200679143555675</v>
      </c>
      <c r="M19" s="12">
        <v>13.350095687220715</v>
      </c>
    </row>
    <row r="20" spans="5:13">
      <c r="E20" s="19" t="s">
        <v>104</v>
      </c>
      <c r="F20" s="17">
        <v>2.0003891761014074</v>
      </c>
      <c r="G20" s="17">
        <v>7.4903307995308191E-3</v>
      </c>
      <c r="H20" s="17">
        <v>267.06286139281167</v>
      </c>
      <c r="I20" s="17">
        <v>5.1124662667785992E-24</v>
      </c>
      <c r="J20" s="17">
        <v>1.9840691474745493</v>
      </c>
      <c r="K20" s="17">
        <v>2.0167092047282655</v>
      </c>
      <c r="L20" s="17">
        <v>1.9840691474745493</v>
      </c>
      <c r="M20" s="17">
        <v>2.0167092047282655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27.693857472194487</v>
      </c>
    </row>
    <row r="2" spans="1:10">
      <c r="A2" s="3">
        <v>14</v>
      </c>
      <c r="B2" s="4">
        <v>41.203073534714001</v>
      </c>
    </row>
    <row r="3" spans="1:10">
      <c r="A3" s="3">
        <v>21</v>
      </c>
      <c r="B3" s="4">
        <v>55.576771379413834</v>
      </c>
      <c r="E3" s="13" t="s">
        <v>117</v>
      </c>
    </row>
    <row r="4" spans="1:10">
      <c r="A4" s="3">
        <v>28</v>
      </c>
      <c r="B4" s="4">
        <v>69.799403867338455</v>
      </c>
    </row>
    <row r="5" spans="1:10" ht="15" customHeight="1">
      <c r="A5" s="3">
        <v>35</v>
      </c>
      <c r="B5" s="4">
        <v>82.976146054845913</v>
      </c>
      <c r="E5" s="14" t="s">
        <v>118</v>
      </c>
      <c r="F5" s="15"/>
    </row>
    <row r="6" spans="1:10">
      <c r="A6" s="3">
        <v>42</v>
      </c>
      <c r="B6" s="4">
        <v>95.609625692987905</v>
      </c>
      <c r="E6" s="13" t="s">
        <v>119</v>
      </c>
      <c r="F6" s="12">
        <v>0.99984564685580846</v>
      </c>
    </row>
    <row r="7" spans="1:10">
      <c r="A7" s="3">
        <v>49</v>
      </c>
      <c r="B7" s="4">
        <v>110.9314514722642</v>
      </c>
      <c r="E7" s="13" t="s">
        <v>120</v>
      </c>
      <c r="F7" s="12">
        <v>0.99969131753650997</v>
      </c>
    </row>
    <row r="8" spans="1:10">
      <c r="A8" s="3">
        <v>56</v>
      </c>
      <c r="B8" s="4">
        <v>123.12909382985407</v>
      </c>
      <c r="E8" s="13" t="s">
        <v>121</v>
      </c>
      <c r="F8" s="12">
        <v>0.99966559399788579</v>
      </c>
    </row>
    <row r="9" spans="1:10">
      <c r="A9" s="3">
        <v>63</v>
      </c>
      <c r="B9" s="4">
        <v>137.47989529055357</v>
      </c>
      <c r="E9" s="13" t="s">
        <v>122</v>
      </c>
      <c r="F9" s="12">
        <v>1.0662037568614937</v>
      </c>
    </row>
    <row r="10" spans="1:10">
      <c r="A10" s="3">
        <v>70</v>
      </c>
      <c r="B10" s="4">
        <v>153.45051540813296</v>
      </c>
      <c r="E10" s="16" t="s">
        <v>123</v>
      </c>
      <c r="F10" s="17">
        <v>14</v>
      </c>
    </row>
    <row r="11" spans="1:10">
      <c r="A11" s="3">
        <v>77</v>
      </c>
      <c r="B11" s="4">
        <v>165.16870637405276</v>
      </c>
    </row>
    <row r="12" spans="1:10">
      <c r="A12" s="3">
        <v>84</v>
      </c>
      <c r="B12" s="4">
        <v>181.32985143767198</v>
      </c>
      <c r="E12" s="13" t="s">
        <v>124</v>
      </c>
    </row>
    <row r="13" spans="1:10" ht="15" customHeight="1">
      <c r="A13" s="3">
        <v>91</v>
      </c>
      <c r="B13" s="4">
        <v>193.39618929464314</v>
      </c>
      <c r="E13" s="15"/>
      <c r="F13" s="14" t="s">
        <v>125</v>
      </c>
      <c r="G13" s="14" t="s">
        <v>126</v>
      </c>
      <c r="H13" s="14" t="s">
        <v>127</v>
      </c>
      <c r="I13" s="14" t="s">
        <v>128</v>
      </c>
      <c r="J13" s="14" t="s">
        <v>129</v>
      </c>
    </row>
    <row r="14" spans="1:10">
      <c r="A14" s="3">
        <v>98</v>
      </c>
      <c r="B14" s="4">
        <v>207.79322372033405</v>
      </c>
      <c r="E14" s="13" t="s">
        <v>130</v>
      </c>
      <c r="F14" s="12">
        <v>1</v>
      </c>
      <c r="G14" s="12">
        <v>44178.973992362524</v>
      </c>
      <c r="H14" s="12">
        <v>44178.973992362524</v>
      </c>
      <c r="I14" s="12">
        <v>38862.900324191331</v>
      </c>
      <c r="J14" s="12">
        <v>0</v>
      </c>
    </row>
    <row r="15" spans="1:10">
      <c r="A15" s="3">
        <v>105</v>
      </c>
      <c r="B15" s="4">
        <v>223.94473890483721</v>
      </c>
      <c r="E15" s="13" t="s">
        <v>131</v>
      </c>
      <c r="F15" s="12">
        <v>12</v>
      </c>
      <c r="G15" s="12">
        <v>13.641485413746759</v>
      </c>
      <c r="H15" s="12">
        <v>1.1367904511455633</v>
      </c>
    </row>
    <row r="16" spans="1:10">
      <c r="E16" s="16" t="s">
        <v>132</v>
      </c>
      <c r="F16" s="17">
        <v>13</v>
      </c>
      <c r="G16" s="17">
        <v>44192.615477776271</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13.106069360518745</v>
      </c>
      <c r="G19" s="12">
        <v>0.66499923135172412</v>
      </c>
      <c r="H19" s="12">
        <v>19.708397758413085</v>
      </c>
      <c r="I19" s="12">
        <v>1.6555868073704148E-10</v>
      </c>
      <c r="J19" s="12">
        <v>11.657160522850507</v>
      </c>
      <c r="K19" s="12">
        <v>14.554978198186983</v>
      </c>
      <c r="L19" s="12">
        <v>11.657160522850507</v>
      </c>
      <c r="M19" s="12">
        <v>14.554978198186983</v>
      </c>
    </row>
    <row r="20" spans="5:13">
      <c r="E20" s="19" t="s">
        <v>104</v>
      </c>
      <c r="F20" s="17">
        <v>1.9907607625622834</v>
      </c>
      <c r="G20" s="17">
        <v>1.0098374393260534E-2</v>
      </c>
      <c r="H20" s="17">
        <v>197.13675538618176</v>
      </c>
      <c r="I20" s="17">
        <v>1.9518265905521554E-22</v>
      </c>
      <c r="J20" s="17">
        <v>1.9687582951688452</v>
      </c>
      <c r="K20" s="17">
        <v>2.0127632299557217</v>
      </c>
      <c r="L20" s="17">
        <v>1.9687582951688452</v>
      </c>
      <c r="M20" s="17">
        <v>2.0127632299557217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25.232489008412003</v>
      </c>
    </row>
    <row r="2" spans="1:10">
      <c r="A2" s="3">
        <v>14</v>
      </c>
      <c r="B2" s="4">
        <v>40.964512928348022</v>
      </c>
    </row>
    <row r="3" spans="1:10">
      <c r="A3" s="3">
        <v>21</v>
      </c>
      <c r="B3" s="4">
        <v>54.910776130632762</v>
      </c>
      <c r="E3" s="13" t="s">
        <v>117</v>
      </c>
    </row>
    <row r="4" spans="1:10">
      <c r="A4" s="3">
        <v>28</v>
      </c>
      <c r="B4" s="4">
        <v>67.968217602796656</v>
      </c>
    </row>
    <row r="5" spans="1:10" ht="15" customHeight="1">
      <c r="A5" s="3">
        <v>35</v>
      </c>
      <c r="B5" s="4">
        <v>81.679163403962917</v>
      </c>
      <c r="E5" s="14" t="s">
        <v>118</v>
      </c>
      <c r="F5" s="15"/>
    </row>
    <row r="6" spans="1:10">
      <c r="A6" s="3">
        <v>42</v>
      </c>
      <c r="B6" s="4">
        <v>97.105469783086278</v>
      </c>
      <c r="E6" s="13" t="s">
        <v>119</v>
      </c>
      <c r="F6" s="12">
        <v>0.99986942587415539</v>
      </c>
    </row>
    <row r="7" spans="1:10">
      <c r="A7" s="3">
        <v>49</v>
      </c>
      <c r="B7" s="4">
        <v>110.49180767173048</v>
      </c>
      <c r="E7" s="13" t="s">
        <v>120</v>
      </c>
      <c r="F7" s="12">
        <v>0.99973886879791307</v>
      </c>
    </row>
    <row r="8" spans="1:10">
      <c r="A8" s="3">
        <v>56</v>
      </c>
      <c r="B8" s="4">
        <v>123.09945607013498</v>
      </c>
      <c r="E8" s="13" t="s">
        <v>121</v>
      </c>
      <c r="F8" s="12">
        <v>0.99971710786440582</v>
      </c>
    </row>
    <row r="9" spans="1:10">
      <c r="A9" s="3">
        <v>63</v>
      </c>
      <c r="B9" s="4">
        <v>139.99921840537064</v>
      </c>
      <c r="E9" s="13" t="s">
        <v>122</v>
      </c>
      <c r="F9" s="12">
        <v>0.98445073925814486</v>
      </c>
    </row>
    <row r="10" spans="1:10">
      <c r="A10" s="3">
        <v>70</v>
      </c>
      <c r="B10" s="4">
        <v>153.74911809072512</v>
      </c>
      <c r="E10" s="16" t="s">
        <v>123</v>
      </c>
      <c r="F10" s="17">
        <v>14</v>
      </c>
    </row>
    <row r="11" spans="1:10">
      <c r="A11" s="3">
        <v>77</v>
      </c>
      <c r="B11" s="4">
        <v>165.09800311589228</v>
      </c>
    </row>
    <row r="12" spans="1:10">
      <c r="A12" s="3">
        <v>84</v>
      </c>
      <c r="B12" s="4">
        <v>179.82685044229109</v>
      </c>
      <c r="E12" s="13" t="s">
        <v>124</v>
      </c>
    </row>
    <row r="13" spans="1:10" ht="15" customHeight="1">
      <c r="A13" s="3">
        <v>91</v>
      </c>
      <c r="B13" s="4">
        <v>194.82029345451758</v>
      </c>
      <c r="E13" s="15"/>
      <c r="F13" s="14" t="s">
        <v>125</v>
      </c>
      <c r="G13" s="14" t="s">
        <v>126</v>
      </c>
      <c r="H13" s="14" t="s">
        <v>127</v>
      </c>
      <c r="I13" s="14" t="s">
        <v>128</v>
      </c>
      <c r="J13" s="14" t="s">
        <v>129</v>
      </c>
    </row>
    <row r="14" spans="1:10">
      <c r="A14" s="3">
        <v>98</v>
      </c>
      <c r="B14" s="4">
        <v>207.53470529812986</v>
      </c>
      <c r="E14" s="13" t="s">
        <v>130</v>
      </c>
      <c r="F14" s="12">
        <v>1</v>
      </c>
      <c r="G14" s="12">
        <v>44524.293232146527</v>
      </c>
      <c r="H14" s="12">
        <v>44524.293232146527</v>
      </c>
      <c r="I14" s="12">
        <v>45941.910923303629</v>
      </c>
      <c r="J14" s="12">
        <v>0</v>
      </c>
    </row>
    <row r="15" spans="1:10">
      <c r="A15" s="3">
        <v>105</v>
      </c>
      <c r="B15" s="4">
        <v>223.35719416931593</v>
      </c>
      <c r="E15" s="13" t="s">
        <v>131</v>
      </c>
      <c r="F15" s="12">
        <v>12</v>
      </c>
      <c r="G15" s="12">
        <v>11.629719096310895</v>
      </c>
      <c r="H15" s="12">
        <v>0.96914325802590795</v>
      </c>
    </row>
    <row r="16" spans="1:10">
      <c r="E16" s="16" t="s">
        <v>132</v>
      </c>
      <c r="F16" s="17">
        <v>13</v>
      </c>
      <c r="G16" s="17">
        <v>44535.922951242836</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12.559480583565232</v>
      </c>
      <c r="G19" s="12">
        <v>0.61400926483074392</v>
      </c>
      <c r="H19" s="12">
        <v>20.454871453816487</v>
      </c>
      <c r="I19" s="12">
        <v>1.0725304756738135E-10</v>
      </c>
      <c r="J19" s="12">
        <v>11.221669337655833</v>
      </c>
      <c r="K19" s="12">
        <v>13.897291829474632</v>
      </c>
      <c r="L19" s="12">
        <v>11.221669337655833</v>
      </c>
      <c r="M19" s="12">
        <v>13.897291829474632</v>
      </c>
    </row>
    <row r="20" spans="5:13">
      <c r="E20" s="19" t="s">
        <v>104</v>
      </c>
      <c r="F20" s="17">
        <v>1.9985258804285984</v>
      </c>
      <c r="G20" s="17">
        <v>9.3240640663417706E-3</v>
      </c>
      <c r="H20" s="17">
        <v>214.3406422573741</v>
      </c>
      <c r="I20" s="17">
        <v>7.1534120188883233E-23</v>
      </c>
      <c r="J20" s="17">
        <v>1.9782104902870989</v>
      </c>
      <c r="K20" s="17">
        <v>2.0188412705700975</v>
      </c>
      <c r="L20" s="17">
        <v>1.9782104902870989</v>
      </c>
      <c r="M20" s="17">
        <v>2.0188412705700975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25.421356599783874</v>
      </c>
    </row>
    <row r="2" spans="1:10">
      <c r="A2" s="3">
        <v>14</v>
      </c>
      <c r="B2" s="4">
        <v>39.327979436628183</v>
      </c>
    </row>
    <row r="3" spans="1:10">
      <c r="A3" s="3">
        <v>21</v>
      </c>
      <c r="B3" s="4">
        <v>54.807582986792028</v>
      </c>
      <c r="E3" s="13" t="s">
        <v>117</v>
      </c>
    </row>
    <row r="4" spans="1:10">
      <c r="A4" s="3">
        <v>28</v>
      </c>
      <c r="B4" s="4">
        <v>68.630394582183683</v>
      </c>
    </row>
    <row r="5" spans="1:10" ht="15" customHeight="1">
      <c r="A5" s="3">
        <v>35</v>
      </c>
      <c r="B5" s="4">
        <v>83.319788045389956</v>
      </c>
      <c r="E5" s="14" t="s">
        <v>118</v>
      </c>
      <c r="F5" s="15"/>
    </row>
    <row r="6" spans="1:10">
      <c r="A6" s="3">
        <v>42</v>
      </c>
      <c r="B6" s="4">
        <v>97.337303388355224</v>
      </c>
      <c r="E6" s="13" t="s">
        <v>119</v>
      </c>
      <c r="F6" s="12">
        <v>0.99991843164361438</v>
      </c>
    </row>
    <row r="7" spans="1:10">
      <c r="A7" s="3">
        <v>49</v>
      </c>
      <c r="B7" s="4">
        <v>110.08908307699849</v>
      </c>
      <c r="E7" s="13" t="s">
        <v>120</v>
      </c>
      <c r="F7" s="12">
        <v>0.99983686994062559</v>
      </c>
    </row>
    <row r="8" spans="1:10">
      <c r="A8" s="3">
        <v>56</v>
      </c>
      <c r="B8" s="4">
        <v>125.14105450967057</v>
      </c>
      <c r="E8" s="13" t="s">
        <v>121</v>
      </c>
      <c r="F8" s="12">
        <v>0.99982327576901109</v>
      </c>
    </row>
    <row r="9" spans="1:10">
      <c r="A9" s="3">
        <v>63</v>
      </c>
      <c r="B9" s="4">
        <v>138.53771587971767</v>
      </c>
      <c r="E9" s="13" t="s">
        <v>122</v>
      </c>
      <c r="F9" s="12">
        <v>0.77967469824779823</v>
      </c>
    </row>
    <row r="10" spans="1:10">
      <c r="A10" s="3">
        <v>70</v>
      </c>
      <c r="B10" s="4">
        <v>153.7893228427352</v>
      </c>
      <c r="E10" s="16" t="s">
        <v>123</v>
      </c>
      <c r="F10" s="17">
        <v>14</v>
      </c>
    </row>
    <row r="11" spans="1:10">
      <c r="A11" s="3">
        <v>77</v>
      </c>
      <c r="B11" s="4">
        <v>166.44513694518301</v>
      </c>
    </row>
    <row r="12" spans="1:10">
      <c r="A12" s="3">
        <v>84</v>
      </c>
      <c r="B12" s="4">
        <v>181.8048152095898</v>
      </c>
      <c r="E12" s="13" t="s">
        <v>124</v>
      </c>
    </row>
    <row r="13" spans="1:10" ht="15" customHeight="1">
      <c r="A13" s="3">
        <v>91</v>
      </c>
      <c r="B13" s="4">
        <v>195.16275207354661</v>
      </c>
      <c r="E13" s="15"/>
      <c r="F13" s="14" t="s">
        <v>125</v>
      </c>
      <c r="G13" s="14" t="s">
        <v>126</v>
      </c>
      <c r="H13" s="14" t="s">
        <v>127</v>
      </c>
      <c r="I13" s="14" t="s">
        <v>128</v>
      </c>
      <c r="J13" s="14" t="s">
        <v>129</v>
      </c>
    </row>
    <row r="14" spans="1:10">
      <c r="A14" s="3">
        <v>98</v>
      </c>
      <c r="B14" s="4">
        <v>207.5361113902932</v>
      </c>
      <c r="E14" s="13" t="s">
        <v>130</v>
      </c>
      <c r="F14" s="12">
        <v>1</v>
      </c>
      <c r="G14" s="12">
        <v>44709.857044643119</v>
      </c>
      <c r="H14" s="12">
        <v>44709.857044643119</v>
      </c>
      <c r="I14" s="12">
        <v>73548.936874660227</v>
      </c>
      <c r="J14" s="12">
        <v>0</v>
      </c>
    </row>
    <row r="15" spans="1:10">
      <c r="A15" s="3">
        <v>105</v>
      </c>
      <c r="B15" s="4">
        <v>222.42941817785493</v>
      </c>
      <c r="E15" s="13" t="s">
        <v>131</v>
      </c>
      <c r="F15" s="12">
        <v>12</v>
      </c>
      <c r="G15" s="12">
        <v>7.2947116210535432</v>
      </c>
      <c r="H15" s="12">
        <v>0.60789263508779523</v>
      </c>
    </row>
    <row r="16" spans="1:10">
      <c r="E16" s="16" t="s">
        <v>132</v>
      </c>
      <c r="F16" s="17">
        <v>13</v>
      </c>
      <c r="G16" s="17">
        <v>44717.151756264175</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12.580062395344271</v>
      </c>
      <c r="G19" s="12">
        <v>0.48628892151477138</v>
      </c>
      <c r="H19" s="12">
        <v>25.869522908640111</v>
      </c>
      <c r="I19" s="12">
        <v>6.7909865765281103E-12</v>
      </c>
      <c r="J19" s="12">
        <v>11.520529868350648</v>
      </c>
      <c r="K19" s="12">
        <v>13.639594922337894</v>
      </c>
      <c r="L19" s="12">
        <v>11.520529868350648</v>
      </c>
      <c r="M19" s="12">
        <v>13.639594922337894</v>
      </c>
    </row>
    <row r="20" spans="5:13">
      <c r="E20" s="19" t="s">
        <v>104</v>
      </c>
      <c r="F20" s="17">
        <v>2.0026861764827366</v>
      </c>
      <c r="G20" s="17">
        <v>7.384561306588518E-3</v>
      </c>
      <c r="H20" s="17">
        <v>271.19907240744777</v>
      </c>
      <c r="I20" s="17">
        <v>4.2515408256023742E-24</v>
      </c>
      <c r="J20" s="17">
        <v>1.9865965997810158</v>
      </c>
      <c r="K20" s="17">
        <v>2.0187757531844577</v>
      </c>
      <c r="L20" s="17">
        <v>1.9865965997810158</v>
      </c>
      <c r="M20" s="17">
        <v>2.0187757531844577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25.248045806829534</v>
      </c>
    </row>
    <row r="2" spans="1:10">
      <c r="A2" s="3">
        <v>14</v>
      </c>
      <c r="B2" s="4">
        <v>41.228997268830767</v>
      </c>
    </row>
    <row r="3" spans="1:10">
      <c r="A3" s="3">
        <v>21</v>
      </c>
      <c r="B3" s="4">
        <v>55.527416592268722</v>
      </c>
      <c r="E3" s="13" t="s">
        <v>117</v>
      </c>
    </row>
    <row r="4" spans="1:10">
      <c r="A4" s="3">
        <v>28</v>
      </c>
      <c r="B4" s="4">
        <v>69.526790702504996</v>
      </c>
    </row>
    <row r="5" spans="1:10" ht="15" customHeight="1">
      <c r="A5" s="3">
        <v>35</v>
      </c>
      <c r="B5" s="4">
        <v>83.753442681269817</v>
      </c>
      <c r="E5" s="14" t="s">
        <v>118</v>
      </c>
      <c r="F5" s="15"/>
    </row>
    <row r="6" spans="1:10">
      <c r="A6" s="3">
        <v>42</v>
      </c>
      <c r="B6" s="4">
        <v>96.523434448295376</v>
      </c>
      <c r="E6" s="13" t="s">
        <v>119</v>
      </c>
      <c r="F6" s="12">
        <v>0.9999253575474073</v>
      </c>
    </row>
    <row r="7" spans="1:10">
      <c r="A7" s="3">
        <v>49</v>
      </c>
      <c r="B7" s="4">
        <v>110.76227148996685</v>
      </c>
      <c r="E7" s="13" t="s">
        <v>120</v>
      </c>
      <c r="F7" s="12">
        <v>0.99985072066631042</v>
      </c>
    </row>
    <row r="8" spans="1:10">
      <c r="A8" s="3">
        <v>56</v>
      </c>
      <c r="B8" s="4">
        <v>125.27284326475241</v>
      </c>
      <c r="E8" s="13" t="s">
        <v>121</v>
      </c>
      <c r="F8" s="12">
        <v>0.99983828072183623</v>
      </c>
    </row>
    <row r="9" spans="1:10">
      <c r="A9" s="3">
        <v>63</v>
      </c>
      <c r="B9" s="4">
        <v>139.12097335089595</v>
      </c>
      <c r="E9" s="13" t="s">
        <v>122</v>
      </c>
      <c r="F9" s="12">
        <v>0.73847764058340559</v>
      </c>
    </row>
    <row r="10" spans="1:10">
      <c r="A10" s="3">
        <v>70</v>
      </c>
      <c r="B10" s="4">
        <v>151.12504960866798</v>
      </c>
      <c r="E10" s="16" t="s">
        <v>123</v>
      </c>
      <c r="F10" s="17">
        <v>14</v>
      </c>
    </row>
    <row r="11" spans="1:10">
      <c r="A11" s="3">
        <v>77</v>
      </c>
      <c r="B11" s="4">
        <v>166.61884101756951</v>
      </c>
    </row>
    <row r="12" spans="1:10">
      <c r="A12" s="3">
        <v>84</v>
      </c>
      <c r="B12" s="4">
        <v>179.47529158235102</v>
      </c>
      <c r="E12" s="13" t="s">
        <v>124</v>
      </c>
    </row>
    <row r="13" spans="1:10" ht="15" customHeight="1">
      <c r="A13" s="3">
        <v>91</v>
      </c>
      <c r="B13" s="4">
        <v>193.68244575697372</v>
      </c>
      <c r="E13" s="15"/>
      <c r="F13" s="14" t="s">
        <v>125</v>
      </c>
      <c r="G13" s="14" t="s">
        <v>126</v>
      </c>
      <c r="H13" s="14" t="s">
        <v>127</v>
      </c>
      <c r="I13" s="14" t="s">
        <v>128</v>
      </c>
      <c r="J13" s="14" t="s">
        <v>129</v>
      </c>
    </row>
    <row r="14" spans="1:10">
      <c r="A14" s="3">
        <v>98</v>
      </c>
      <c r="B14" s="4">
        <v>207.72746068061667</v>
      </c>
      <c r="E14" s="13" t="s">
        <v>130</v>
      </c>
      <c r="F14" s="12">
        <v>1</v>
      </c>
      <c r="G14" s="12">
        <v>43832.013672272464</v>
      </c>
      <c r="H14" s="12">
        <v>43832.013672272464</v>
      </c>
      <c r="I14" s="12">
        <v>80374.210893398937</v>
      </c>
      <c r="J14" s="12">
        <v>0</v>
      </c>
    </row>
    <row r="15" spans="1:10">
      <c r="A15" s="3">
        <v>105</v>
      </c>
      <c r="B15" s="4">
        <v>223.42578442085019</v>
      </c>
      <c r="E15" s="13" t="s">
        <v>131</v>
      </c>
      <c r="F15" s="12">
        <v>12</v>
      </c>
      <c r="G15" s="12">
        <v>6.5441907076996024</v>
      </c>
      <c r="H15" s="12">
        <v>0.54534922564163357</v>
      </c>
    </row>
    <row r="16" spans="1:10">
      <c r="E16" s="16" t="s">
        <v>132</v>
      </c>
      <c r="F16" s="17">
        <v>13</v>
      </c>
      <c r="G16" s="17">
        <v>43838.55786298016</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13.71370866449638</v>
      </c>
      <c r="G19" s="12">
        <v>0.46059400953901786</v>
      </c>
      <c r="H19" s="12">
        <v>29.773962275848191</v>
      </c>
      <c r="I19" s="12">
        <v>1.2877277536475649E-12</v>
      </c>
      <c r="J19" s="12">
        <v>12.710160540626203</v>
      </c>
      <c r="K19" s="12">
        <v>14.717256788366557</v>
      </c>
      <c r="L19" s="12">
        <v>12.710160540626203</v>
      </c>
      <c r="M19" s="12">
        <v>14.717256788366557</v>
      </c>
    </row>
    <row r="20" spans="5:13">
      <c r="E20" s="19" t="s">
        <v>104</v>
      </c>
      <c r="F20" s="17">
        <v>1.9829281171222863</v>
      </c>
      <c r="G20" s="17">
        <v>6.9943701170354089E-3</v>
      </c>
      <c r="H20" s="17">
        <v>283.50345834468914</v>
      </c>
      <c r="I20" s="17">
        <v>2.4965366006645858E-24</v>
      </c>
      <c r="J20" s="17">
        <v>1.967688693979051</v>
      </c>
      <c r="K20" s="17">
        <v>1.9981675402655217</v>
      </c>
      <c r="L20" s="17">
        <v>1.967688693979051</v>
      </c>
      <c r="M20" s="17">
        <v>1.9981675402655217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cols>
    <col min="5" max="5" width="18.4140625" customWidth="1"/>
  </cols>
  <sheetData>
    <row r="1" spans="1:10">
      <c r="A1" s="3">
        <v>7</v>
      </c>
      <c r="B1" s="4">
        <v>26.213029495496151</v>
      </c>
    </row>
    <row r="2" spans="1:10">
      <c r="A2" s="3">
        <v>14</v>
      </c>
      <c r="B2" s="4">
        <v>39.957984204604713</v>
      </c>
    </row>
    <row r="3" spans="1:10">
      <c r="A3" s="3">
        <v>21</v>
      </c>
      <c r="B3" s="4">
        <v>55.045836061403399</v>
      </c>
      <c r="E3" s="13" t="s">
        <v>117</v>
      </c>
    </row>
    <row r="4" spans="1:10">
      <c r="A4" s="3">
        <v>28</v>
      </c>
      <c r="B4" s="4">
        <v>69.388415234996216</v>
      </c>
    </row>
    <row r="5" spans="1:10" ht="15" customHeight="1">
      <c r="A5" s="3">
        <v>35</v>
      </c>
      <c r="B5" s="4">
        <v>83.538610138576018</v>
      </c>
      <c r="E5" s="14" t="s">
        <v>118</v>
      </c>
      <c r="F5" s="15"/>
    </row>
    <row r="6" spans="1:10">
      <c r="A6" s="3">
        <v>42</v>
      </c>
      <c r="B6" s="4">
        <v>97.692693498826472</v>
      </c>
      <c r="E6" s="13" t="s">
        <v>119</v>
      </c>
      <c r="F6" s="12">
        <v>0.99990559535452772</v>
      </c>
    </row>
    <row r="7" spans="1:10">
      <c r="A7" s="3">
        <v>49</v>
      </c>
      <c r="B7" s="4">
        <v>110.85888402567744</v>
      </c>
      <c r="E7" s="13" t="s">
        <v>120</v>
      </c>
      <c r="F7" s="12">
        <v>0.9998111996212925</v>
      </c>
    </row>
    <row r="8" spans="1:10">
      <c r="A8" s="3">
        <v>56</v>
      </c>
      <c r="B8" s="4">
        <v>123.23293963340879</v>
      </c>
      <c r="E8" s="13" t="s">
        <v>121</v>
      </c>
      <c r="F8" s="12">
        <v>0.99979546625640014</v>
      </c>
    </row>
    <row r="9" spans="1:10">
      <c r="A9" s="3">
        <v>63</v>
      </c>
      <c r="B9" s="4">
        <v>137.05993875828327</v>
      </c>
      <c r="E9" s="13" t="s">
        <v>122</v>
      </c>
      <c r="F9" s="12">
        <v>0.83330263121357706</v>
      </c>
    </row>
    <row r="10" spans="1:10">
      <c r="A10" s="3">
        <v>70</v>
      </c>
      <c r="B10" s="4">
        <v>152.2617920452881</v>
      </c>
      <c r="E10" s="16" t="s">
        <v>123</v>
      </c>
      <c r="F10" s="17">
        <v>14</v>
      </c>
    </row>
    <row r="11" spans="1:10">
      <c r="A11" s="3">
        <v>77</v>
      </c>
      <c r="B11" s="4">
        <v>166.4866940004373</v>
      </c>
    </row>
    <row r="12" spans="1:10">
      <c r="A12" s="3">
        <v>84</v>
      </c>
      <c r="B12" s="4">
        <v>181.18205488694994</v>
      </c>
      <c r="E12" s="13" t="s">
        <v>124</v>
      </c>
    </row>
    <row r="13" spans="1:10" ht="15" customHeight="1">
      <c r="A13" s="3">
        <v>91</v>
      </c>
      <c r="B13" s="4">
        <v>194.82695794246001</v>
      </c>
      <c r="E13" s="15"/>
      <c r="F13" s="14" t="s">
        <v>125</v>
      </c>
      <c r="G13" s="14" t="s">
        <v>126</v>
      </c>
      <c r="H13" s="14" t="s">
        <v>127</v>
      </c>
      <c r="I13" s="14" t="s">
        <v>128</v>
      </c>
      <c r="J13" s="14" t="s">
        <v>129</v>
      </c>
    </row>
    <row r="14" spans="1:10">
      <c r="A14" s="3">
        <v>98</v>
      </c>
      <c r="B14" s="4">
        <v>207.68249570153523</v>
      </c>
      <c r="E14" s="13" t="s">
        <v>130</v>
      </c>
      <c r="F14" s="12">
        <v>1</v>
      </c>
      <c r="G14" s="12">
        <v>44126.744547450675</v>
      </c>
      <c r="H14" s="12">
        <v>44126.744547450675</v>
      </c>
      <c r="I14" s="12">
        <v>63547.19454265658</v>
      </c>
      <c r="J14" s="12">
        <v>0</v>
      </c>
    </row>
    <row r="15" spans="1:10">
      <c r="A15" s="3">
        <v>105</v>
      </c>
      <c r="B15" s="4">
        <v>221.75521128996095</v>
      </c>
      <c r="E15" s="13" t="s">
        <v>131</v>
      </c>
      <c r="F15" s="12">
        <v>12</v>
      </c>
      <c r="G15" s="12">
        <v>8.3327193022496502</v>
      </c>
      <c r="H15" s="12">
        <v>0.69439327518747085</v>
      </c>
    </row>
    <row r="16" spans="1:10">
      <c r="E16" s="16" t="s">
        <v>132</v>
      </c>
      <c r="F16" s="17">
        <v>13</v>
      </c>
      <c r="G16" s="17">
        <v>44135.077266752924</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13.117666096516245</v>
      </c>
      <c r="G19" s="12">
        <v>0.51973706308407319</v>
      </c>
      <c r="H19" s="12">
        <v>25.239043024326936</v>
      </c>
      <c r="I19" s="12">
        <v>9.0858145689253094E-12</v>
      </c>
      <c r="J19" s="12">
        <v>11.985256330514646</v>
      </c>
      <c r="K19" s="12">
        <v>14.250075862517845</v>
      </c>
      <c r="L19" s="12">
        <v>11.985256330514646</v>
      </c>
      <c r="M19" s="12">
        <v>14.250075862517845</v>
      </c>
    </row>
    <row r="20" spans="5:13">
      <c r="E20" s="19" t="s">
        <v>104</v>
      </c>
      <c r="F20" s="17">
        <v>1.9895836519461962</v>
      </c>
      <c r="G20" s="17">
        <v>7.8924894971805753E-3</v>
      </c>
      <c r="H20" s="17">
        <v>252.0856888890296</v>
      </c>
      <c r="I20" s="17">
        <v>1.0217963181953421E-23</v>
      </c>
      <c r="J20" s="17">
        <v>1.9723873948010202</v>
      </c>
      <c r="K20" s="17">
        <v>2.0067799090913723</v>
      </c>
      <c r="L20" s="17">
        <v>1.9723873948010202</v>
      </c>
      <c r="M20" s="17">
        <v>2.0067799090913723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cols>
    <col min="5" max="5" width="18.4140625" customWidth="1"/>
  </cols>
  <sheetData>
    <row r="1" spans="1:10">
      <c r="A1" s="3">
        <v>7</v>
      </c>
      <c r="B1" s="4">
        <v>27.125188663550155</v>
      </c>
    </row>
    <row r="2" spans="1:10">
      <c r="A2" s="3">
        <v>14</v>
      </c>
      <c r="B2" s="4">
        <v>39.199107070856613</v>
      </c>
    </row>
    <row r="3" spans="1:10">
      <c r="A3" s="3">
        <v>21</v>
      </c>
      <c r="B3" s="4">
        <v>55.720933229891031</v>
      </c>
      <c r="E3" s="13" t="s">
        <v>117</v>
      </c>
    </row>
    <row r="4" spans="1:10">
      <c r="A4" s="3">
        <v>28</v>
      </c>
      <c r="B4" s="4">
        <v>67.748126318689174</v>
      </c>
    </row>
    <row r="5" spans="1:10" ht="15" customHeight="1">
      <c r="A5" s="3">
        <v>35</v>
      </c>
      <c r="B5" s="4">
        <v>83.096660944898218</v>
      </c>
      <c r="E5" s="14" t="s">
        <v>118</v>
      </c>
      <c r="F5" s="15"/>
    </row>
    <row r="6" spans="1:10">
      <c r="A6" s="3">
        <v>42</v>
      </c>
      <c r="B6" s="4">
        <v>95.619336685122178</v>
      </c>
      <c r="E6" s="13" t="s">
        <v>119</v>
      </c>
      <c r="F6" s="12">
        <v>0.99986201037162326</v>
      </c>
    </row>
    <row r="7" spans="1:10">
      <c r="A7" s="3">
        <v>49</v>
      </c>
      <c r="B7" s="4">
        <v>110.8323747281858</v>
      </c>
      <c r="E7" s="13" t="s">
        <v>120</v>
      </c>
      <c r="F7" s="12">
        <v>0.99972403978438407</v>
      </c>
    </row>
    <row r="8" spans="1:10">
      <c r="A8" s="3">
        <v>56</v>
      </c>
      <c r="B8" s="4">
        <v>125.8969596574869</v>
      </c>
      <c r="E8" s="13" t="s">
        <v>121</v>
      </c>
      <c r="F8" s="12">
        <v>0.99970104309974939</v>
      </c>
    </row>
    <row r="9" spans="1:10">
      <c r="A9" s="3">
        <v>63</v>
      </c>
      <c r="B9" s="4">
        <v>139.42504949129344</v>
      </c>
      <c r="E9" s="13" t="s">
        <v>122</v>
      </c>
      <c r="F9" s="12">
        <v>1.0140552021224847</v>
      </c>
    </row>
    <row r="10" spans="1:10">
      <c r="A10" s="3">
        <v>70</v>
      </c>
      <c r="B10" s="4">
        <v>152.47045937314044</v>
      </c>
      <c r="E10" s="16" t="s">
        <v>123</v>
      </c>
      <c r="F10" s="17">
        <v>14</v>
      </c>
    </row>
    <row r="11" spans="1:10">
      <c r="A11" s="3">
        <v>77</v>
      </c>
      <c r="B11" s="4">
        <v>167.92305429910314</v>
      </c>
    </row>
    <row r="12" spans="1:10">
      <c r="A12" s="3">
        <v>84</v>
      </c>
      <c r="B12" s="4">
        <v>180.21012402792721</v>
      </c>
      <c r="E12" s="13" t="s">
        <v>124</v>
      </c>
    </row>
    <row r="13" spans="1:10" ht="15" customHeight="1">
      <c r="A13" s="3">
        <v>91</v>
      </c>
      <c r="B13" s="4">
        <v>193.16703998318076</v>
      </c>
      <c r="E13" s="15"/>
      <c r="F13" s="14" t="s">
        <v>125</v>
      </c>
      <c r="G13" s="14" t="s">
        <v>126</v>
      </c>
      <c r="H13" s="14" t="s">
        <v>127</v>
      </c>
      <c r="I13" s="14" t="s">
        <v>128</v>
      </c>
      <c r="J13" s="14" t="s">
        <v>129</v>
      </c>
    </row>
    <row r="14" spans="1:10">
      <c r="A14" s="3">
        <v>98</v>
      </c>
      <c r="B14" s="4">
        <v>209.43961843872339</v>
      </c>
      <c r="E14" s="13" t="s">
        <v>130</v>
      </c>
      <c r="F14" s="12">
        <v>1</v>
      </c>
      <c r="G14" s="12">
        <v>44703.147310101165</v>
      </c>
      <c r="H14" s="12">
        <v>44703.147310101165</v>
      </c>
      <c r="I14" s="12">
        <v>43472.529004355609</v>
      </c>
      <c r="J14" s="12">
        <v>0</v>
      </c>
    </row>
    <row r="15" spans="1:10">
      <c r="A15" s="3">
        <v>105</v>
      </c>
      <c r="B15" s="4">
        <v>222.17186834184628</v>
      </c>
      <c r="E15" s="13" t="s">
        <v>131</v>
      </c>
      <c r="F15" s="12">
        <v>12</v>
      </c>
      <c r="G15" s="12">
        <v>12.339695435420081</v>
      </c>
      <c r="H15" s="12">
        <v>1.0283079529516734</v>
      </c>
    </row>
    <row r="16" spans="1:10">
      <c r="E16" s="16" t="s">
        <v>132</v>
      </c>
      <c r="F16" s="17">
        <v>13</v>
      </c>
      <c r="G16" s="17">
        <v>44715.487005536583</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12.486307917174258</v>
      </c>
      <c r="G19" s="12">
        <v>0.63247378901073525</v>
      </c>
      <c r="H19" s="12">
        <v>19.742016403089746</v>
      </c>
      <c r="I19" s="12">
        <v>1.6229925055320735E-10</v>
      </c>
      <c r="J19" s="12">
        <v>11.108265929624229</v>
      </c>
      <c r="K19" s="12">
        <v>13.864349904724287</v>
      </c>
      <c r="L19" s="12">
        <v>11.108265929624229</v>
      </c>
      <c r="M19" s="12">
        <v>13.864349904724287</v>
      </c>
    </row>
    <row r="20" spans="5:13">
      <c r="E20" s="19" t="s">
        <v>104</v>
      </c>
      <c r="F20" s="17">
        <v>2.0025358964584719</v>
      </c>
      <c r="G20" s="17">
        <v>9.6044578914352974E-3</v>
      </c>
      <c r="H20" s="17">
        <v>208.50066907412005</v>
      </c>
      <c r="I20" s="17">
        <v>9.9641956524603046E-23</v>
      </c>
      <c r="J20" s="17">
        <v>1.9816095806616454</v>
      </c>
      <c r="K20" s="17">
        <v>2.0234622122552985</v>
      </c>
      <c r="L20" s="17">
        <v>1.9816095806616454</v>
      </c>
      <c r="M20" s="17">
        <v>2.0234622122552985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27.69174478099087</v>
      </c>
    </row>
    <row r="2" spans="1:10">
      <c r="A2" s="3">
        <v>14</v>
      </c>
      <c r="B2" s="4">
        <v>41.68904255276</v>
      </c>
    </row>
    <row r="3" spans="1:10">
      <c r="A3" s="3">
        <v>21</v>
      </c>
      <c r="B3" s="4">
        <v>53.066655333378357</v>
      </c>
      <c r="E3" s="13" t="s">
        <v>117</v>
      </c>
    </row>
    <row r="4" spans="1:10">
      <c r="A4" s="3">
        <v>28</v>
      </c>
      <c r="B4" s="4">
        <v>68.40023039161629</v>
      </c>
    </row>
    <row r="5" spans="1:10" ht="15" customHeight="1">
      <c r="A5" s="3">
        <v>35</v>
      </c>
      <c r="B5" s="4">
        <v>81.251019828759212</v>
      </c>
      <c r="E5" s="14" t="s">
        <v>118</v>
      </c>
      <c r="F5" s="15"/>
    </row>
    <row r="6" spans="1:10">
      <c r="A6" s="3">
        <v>42</v>
      </c>
      <c r="B6" s="4">
        <v>96.509855469111486</v>
      </c>
      <c r="E6" s="13" t="s">
        <v>119</v>
      </c>
      <c r="F6" s="12">
        <v>0.99989940141550682</v>
      </c>
    </row>
    <row r="7" spans="1:10">
      <c r="A7" s="3">
        <v>49</v>
      </c>
      <c r="B7" s="4">
        <v>109.40215732232659</v>
      </c>
      <c r="E7" s="13" t="s">
        <v>120</v>
      </c>
      <c r="F7" s="12">
        <v>0.99979881295108874</v>
      </c>
    </row>
    <row r="8" spans="1:10">
      <c r="A8" s="3">
        <v>56</v>
      </c>
      <c r="B8" s="4">
        <v>123.7283640470678</v>
      </c>
      <c r="E8" s="13" t="s">
        <v>121</v>
      </c>
      <c r="F8" s="12">
        <v>0.99978204736367948</v>
      </c>
    </row>
    <row r="9" spans="1:10">
      <c r="A9" s="3">
        <v>63</v>
      </c>
      <c r="B9" s="4">
        <v>137.65290027962416</v>
      </c>
      <c r="E9" s="13" t="s">
        <v>122</v>
      </c>
      <c r="F9" s="12">
        <v>0.86348271611217808</v>
      </c>
    </row>
    <row r="10" spans="1:10">
      <c r="A10" s="3">
        <v>70</v>
      </c>
      <c r="B10" s="4">
        <v>153.76765760827269</v>
      </c>
      <c r="E10" s="16" t="s">
        <v>123</v>
      </c>
      <c r="F10" s="17">
        <v>14</v>
      </c>
    </row>
    <row r="11" spans="1:10">
      <c r="A11" s="3">
        <v>77</v>
      </c>
      <c r="B11" s="4">
        <v>165.95096666696256</v>
      </c>
    </row>
    <row r="12" spans="1:10">
      <c r="A12" s="3">
        <v>84</v>
      </c>
      <c r="B12" s="4">
        <v>180.50631515710342</v>
      </c>
      <c r="E12" s="13" t="s">
        <v>124</v>
      </c>
    </row>
    <row r="13" spans="1:10" ht="15" customHeight="1">
      <c r="A13" s="3">
        <v>91</v>
      </c>
      <c r="B13" s="4">
        <v>194.31087334418896</v>
      </c>
      <c r="E13" s="15"/>
      <c r="F13" s="14" t="s">
        <v>125</v>
      </c>
      <c r="G13" s="14" t="s">
        <v>126</v>
      </c>
      <c r="H13" s="14" t="s">
        <v>127</v>
      </c>
      <c r="I13" s="14" t="s">
        <v>128</v>
      </c>
      <c r="J13" s="14" t="s">
        <v>129</v>
      </c>
    </row>
    <row r="14" spans="1:10">
      <c r="A14" s="3">
        <v>98</v>
      </c>
      <c r="B14" s="4">
        <v>207.92461059836802</v>
      </c>
      <c r="E14" s="13" t="s">
        <v>130</v>
      </c>
      <c r="F14" s="12">
        <v>1</v>
      </c>
      <c r="G14" s="12">
        <v>44463.243504691607</v>
      </c>
      <c r="H14" s="12">
        <v>44463.243504691607</v>
      </c>
      <c r="I14" s="12">
        <v>59633.986483410888</v>
      </c>
      <c r="J14" s="12">
        <v>0</v>
      </c>
    </row>
    <row r="15" spans="1:10">
      <c r="A15" s="3">
        <v>105</v>
      </c>
      <c r="B15" s="4">
        <v>221.32693225204</v>
      </c>
      <c r="E15" s="13" t="s">
        <v>131</v>
      </c>
      <c r="F15" s="12">
        <v>12</v>
      </c>
      <c r="G15" s="12">
        <v>8.9472288122935719</v>
      </c>
      <c r="H15" s="12">
        <v>0.74560240102446429</v>
      </c>
    </row>
    <row r="16" spans="1:10">
      <c r="E16" s="16" t="s">
        <v>132</v>
      </c>
      <c r="F16" s="17">
        <v>13</v>
      </c>
      <c r="G16" s="17">
        <v>44472.1907335039</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12.275517471525404</v>
      </c>
      <c r="G19" s="12">
        <v>0.53856060701790553</v>
      </c>
      <c r="H19" s="12">
        <v>22.793195996077152</v>
      </c>
      <c r="I19" s="12">
        <v>3.0163270379247198E-11</v>
      </c>
      <c r="J19" s="12">
        <v>11.102094727047835</v>
      </c>
      <c r="K19" s="12">
        <v>13.448940216002974</v>
      </c>
      <c r="L19" s="12">
        <v>11.102094727047835</v>
      </c>
      <c r="M19" s="12">
        <v>13.448940216002974</v>
      </c>
    </row>
    <row r="20" spans="5:13">
      <c r="E20" s="19" t="s">
        <v>104</v>
      </c>
      <c r="F20" s="17">
        <v>1.9971552656065121</v>
      </c>
      <c r="G20" s="17">
        <v>8.1783352321680332E-3</v>
      </c>
      <c r="H20" s="17">
        <v>244.20070942446276</v>
      </c>
      <c r="I20" s="17">
        <v>1.4960620085264561E-23</v>
      </c>
      <c r="J20" s="17">
        <v>1.9793362041149443</v>
      </c>
      <c r="K20" s="17">
        <v>2.0149743270980802</v>
      </c>
      <c r="L20" s="17">
        <v>1.9793362041149443</v>
      </c>
      <c r="M20" s="17">
        <v>2.0149743270980802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26.757964501698272</v>
      </c>
    </row>
    <row r="2" spans="1:10">
      <c r="A2" s="3">
        <v>14</v>
      </c>
      <c r="B2" s="4">
        <v>39.972628278095698</v>
      </c>
    </row>
    <row r="3" spans="1:10">
      <c r="A3" s="3">
        <v>21</v>
      </c>
      <c r="B3" s="4">
        <v>53.57235215946794</v>
      </c>
      <c r="E3" s="13" t="s">
        <v>117</v>
      </c>
    </row>
    <row r="4" spans="1:10">
      <c r="A4" s="3">
        <v>28</v>
      </c>
      <c r="B4" s="4">
        <v>69.294685498567418</v>
      </c>
    </row>
    <row r="5" spans="1:10" ht="15" customHeight="1">
      <c r="A5" s="3">
        <v>35</v>
      </c>
      <c r="B5" s="4">
        <v>82.626322011456466</v>
      </c>
      <c r="E5" s="14" t="s">
        <v>118</v>
      </c>
      <c r="F5" s="15"/>
    </row>
    <row r="6" spans="1:10">
      <c r="A6" s="3">
        <v>42</v>
      </c>
      <c r="B6" s="4">
        <v>95.599387159921235</v>
      </c>
      <c r="E6" s="13" t="s">
        <v>119</v>
      </c>
      <c r="F6" s="12">
        <v>0.99992541962406767</v>
      </c>
    </row>
    <row r="7" spans="1:10">
      <c r="A7" s="3">
        <v>49</v>
      </c>
      <c r="B7" s="4">
        <v>110.45166199766574</v>
      </c>
      <c r="E7" s="13" t="s">
        <v>120</v>
      </c>
      <c r="F7" s="12">
        <v>0.99985084481036779</v>
      </c>
    </row>
    <row r="8" spans="1:10">
      <c r="A8" s="3">
        <v>56</v>
      </c>
      <c r="B8" s="4">
        <v>123.12422105111447</v>
      </c>
      <c r="E8" s="13" t="s">
        <v>121</v>
      </c>
      <c r="F8" s="12">
        <v>0.99983841521123173</v>
      </c>
    </row>
    <row r="9" spans="1:10">
      <c r="A9" s="3">
        <v>63</v>
      </c>
      <c r="B9" s="4">
        <v>138.55838430448284</v>
      </c>
      <c r="E9" s="13" t="s">
        <v>122</v>
      </c>
      <c r="F9" s="12">
        <v>0.74952675872489383</v>
      </c>
    </row>
    <row r="10" spans="1:10">
      <c r="A10" s="3">
        <v>70</v>
      </c>
      <c r="B10" s="4">
        <v>151.98968126292709</v>
      </c>
      <c r="E10" s="16" t="s">
        <v>123</v>
      </c>
      <c r="F10" s="17">
        <v>14</v>
      </c>
    </row>
    <row r="11" spans="1:10">
      <c r="A11" s="3">
        <v>77</v>
      </c>
      <c r="B11" s="4">
        <v>166.04958091623163</v>
      </c>
    </row>
    <row r="12" spans="1:10">
      <c r="A12" s="3">
        <v>84</v>
      </c>
      <c r="B12" s="4">
        <v>181.43406416246873</v>
      </c>
      <c r="E12" s="13" t="s">
        <v>124</v>
      </c>
    </row>
    <row r="13" spans="1:10" ht="15" customHeight="1">
      <c r="A13" s="3">
        <v>91</v>
      </c>
      <c r="B13" s="4">
        <v>194.21783622019356</v>
      </c>
      <c r="E13" s="15"/>
      <c r="F13" s="14" t="s">
        <v>125</v>
      </c>
      <c r="G13" s="14" t="s">
        <v>126</v>
      </c>
      <c r="H13" s="14" t="s">
        <v>127</v>
      </c>
      <c r="I13" s="14" t="s">
        <v>128</v>
      </c>
      <c r="J13" s="14" t="s">
        <v>129</v>
      </c>
    </row>
    <row r="14" spans="1:10">
      <c r="A14" s="3">
        <v>98</v>
      </c>
      <c r="B14" s="4">
        <v>209.948354513331</v>
      </c>
      <c r="E14" s="13" t="s">
        <v>130</v>
      </c>
      <c r="F14" s="12">
        <v>1</v>
      </c>
      <c r="G14" s="12">
        <v>45191.044534095105</v>
      </c>
      <c r="H14" s="12">
        <v>45191.044534095105</v>
      </c>
      <c r="I14" s="12">
        <v>80441.117518680039</v>
      </c>
      <c r="J14" s="12">
        <v>0</v>
      </c>
    </row>
    <row r="15" spans="1:10">
      <c r="A15" s="3">
        <v>105</v>
      </c>
      <c r="B15" s="4">
        <v>223.38726512173085</v>
      </c>
      <c r="E15" s="13" t="s">
        <v>131</v>
      </c>
      <c r="F15" s="12">
        <v>12</v>
      </c>
      <c r="G15" s="12">
        <v>6.741484344535742</v>
      </c>
      <c r="H15" s="12">
        <v>0.56179036204464516</v>
      </c>
    </row>
    <row r="16" spans="1:10">
      <c r="E16" s="16" t="s">
        <v>132</v>
      </c>
      <c r="F16" s="17">
        <v>13</v>
      </c>
      <c r="G16" s="17">
        <v>45197.786018439641</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11.645407490802995</v>
      </c>
      <c r="G19" s="12">
        <v>0.46748542689139411</v>
      </c>
      <c r="H19" s="12">
        <v>24.910739075313355</v>
      </c>
      <c r="I19" s="12">
        <v>1.0602595830402616E-11</v>
      </c>
      <c r="J19" s="12">
        <v>10.626844258591081</v>
      </c>
      <c r="K19" s="12">
        <v>12.663970723014909</v>
      </c>
      <c r="L19" s="12">
        <v>10.626844258591081</v>
      </c>
      <c r="M19" s="12">
        <v>12.663970723014909</v>
      </c>
    </row>
    <row r="20" spans="5:13">
      <c r="E20" s="19" t="s">
        <v>104</v>
      </c>
      <c r="F20" s="17">
        <v>2.0134342374386716</v>
      </c>
      <c r="G20" s="17">
        <v>7.0990200312662111E-3</v>
      </c>
      <c r="H20" s="17">
        <v>283.62143346136565</v>
      </c>
      <c r="I20" s="17">
        <v>2.484105282181891E-24</v>
      </c>
      <c r="J20" s="17">
        <v>1.9979668017227268</v>
      </c>
      <c r="K20" s="17">
        <v>2.0289016731546163</v>
      </c>
      <c r="L20" s="17">
        <v>1.9979668017227268</v>
      </c>
      <c r="M20" s="17">
        <v>2.0289016731546163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26.948805703928393</v>
      </c>
    </row>
    <row r="2" spans="1:10">
      <c r="A2" s="3">
        <v>14</v>
      </c>
      <c r="B2" s="4">
        <v>41.363877927483259</v>
      </c>
    </row>
    <row r="3" spans="1:10">
      <c r="A3" s="3">
        <v>21</v>
      </c>
      <c r="B3" s="4">
        <v>53.051575352679059</v>
      </c>
      <c r="E3" s="13" t="s">
        <v>117</v>
      </c>
    </row>
    <row r="4" spans="1:10">
      <c r="A4" s="3">
        <v>28</v>
      </c>
      <c r="B4" s="4">
        <v>68.861856559328132</v>
      </c>
    </row>
    <row r="5" spans="1:10" ht="15" customHeight="1">
      <c r="A5" s="3">
        <v>35</v>
      </c>
      <c r="B5" s="4">
        <v>81.84678601636503</v>
      </c>
      <c r="E5" s="14" t="s">
        <v>118</v>
      </c>
      <c r="F5" s="15"/>
    </row>
    <row r="6" spans="1:10">
      <c r="A6" s="3">
        <v>42</v>
      </c>
      <c r="B6" s="4">
        <v>96.184458756258806</v>
      </c>
      <c r="E6" s="13" t="s">
        <v>119</v>
      </c>
      <c r="F6" s="12">
        <v>0.99991762085960778</v>
      </c>
    </row>
    <row r="7" spans="1:10">
      <c r="A7" s="3">
        <v>49</v>
      </c>
      <c r="B7" s="4">
        <v>109.30863796799541</v>
      </c>
      <c r="E7" s="13" t="s">
        <v>120</v>
      </c>
      <c r="F7" s="12">
        <v>0.9998352485055384</v>
      </c>
    </row>
    <row r="8" spans="1:10">
      <c r="A8" s="3">
        <v>56</v>
      </c>
      <c r="B8" s="4">
        <v>124.25565048775607</v>
      </c>
      <c r="E8" s="13" t="s">
        <v>121</v>
      </c>
      <c r="F8" s="12">
        <v>0.99982151921433327</v>
      </c>
    </row>
    <row r="9" spans="1:10">
      <c r="A9" s="3">
        <v>63</v>
      </c>
      <c r="B9" s="4">
        <v>137.62370904443256</v>
      </c>
      <c r="E9" s="13" t="s">
        <v>122</v>
      </c>
      <c r="F9" s="12">
        <v>0.78115183446916336</v>
      </c>
    </row>
    <row r="10" spans="1:10">
      <c r="A10" s="3">
        <v>70</v>
      </c>
      <c r="B10" s="4">
        <v>152.82219897958024</v>
      </c>
      <c r="E10" s="16" t="s">
        <v>123</v>
      </c>
      <c r="F10" s="17">
        <v>14</v>
      </c>
    </row>
    <row r="11" spans="1:10">
      <c r="A11" s="3">
        <v>77</v>
      </c>
      <c r="B11" s="4">
        <v>167.27133455746537</v>
      </c>
    </row>
    <row r="12" spans="1:10">
      <c r="A12" s="3">
        <v>84</v>
      </c>
      <c r="B12" s="4">
        <v>180.27584186577727</v>
      </c>
      <c r="E12" s="13" t="s">
        <v>124</v>
      </c>
    </row>
    <row r="13" spans="1:10" ht="15" customHeight="1">
      <c r="A13" s="3">
        <v>91</v>
      </c>
      <c r="B13" s="4">
        <v>193.64796776789012</v>
      </c>
      <c r="E13" s="15"/>
      <c r="F13" s="14" t="s">
        <v>125</v>
      </c>
      <c r="G13" s="14" t="s">
        <v>126</v>
      </c>
      <c r="H13" s="14" t="s">
        <v>127</v>
      </c>
      <c r="I13" s="14" t="s">
        <v>128</v>
      </c>
      <c r="J13" s="14" t="s">
        <v>129</v>
      </c>
    </row>
    <row r="14" spans="1:10">
      <c r="A14" s="3">
        <v>98</v>
      </c>
      <c r="B14" s="4">
        <v>207.08128095618892</v>
      </c>
      <c r="E14" s="13" t="s">
        <v>130</v>
      </c>
      <c r="F14" s="12">
        <v>1</v>
      </c>
      <c r="G14" s="12">
        <v>44437.666032095818</v>
      </c>
      <c r="H14" s="12">
        <v>44437.666032095818</v>
      </c>
      <c r="I14" s="12">
        <v>72824.972066421498</v>
      </c>
      <c r="J14" s="12">
        <v>0</v>
      </c>
    </row>
    <row r="15" spans="1:10">
      <c r="A15" s="3">
        <v>105</v>
      </c>
      <c r="B15" s="4">
        <v>222.39167939416313</v>
      </c>
      <c r="E15" s="13" t="s">
        <v>131</v>
      </c>
      <c r="F15" s="12">
        <v>12</v>
      </c>
      <c r="G15" s="12">
        <v>7.3223782619344702</v>
      </c>
      <c r="H15" s="12">
        <v>0.61019818849453922</v>
      </c>
    </row>
    <row r="16" spans="1:10">
      <c r="E16" s="16" t="s">
        <v>132</v>
      </c>
      <c r="F16" s="17">
        <v>13</v>
      </c>
      <c r="G16" s="17">
        <v>44444.98841035775</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12.345363552779418</v>
      </c>
      <c r="G19" s="12">
        <v>0.48721022238759998</v>
      </c>
      <c r="H19" s="12">
        <v>25.338884500986655</v>
      </c>
      <c r="I19" s="12">
        <v>8.6724244377808925E-12</v>
      </c>
      <c r="J19" s="12">
        <v>11.283823683650859</v>
      </c>
      <c r="K19" s="12">
        <v>13.406903421907977</v>
      </c>
      <c r="L19" s="12">
        <v>11.283823683650859</v>
      </c>
      <c r="M19" s="12">
        <v>13.406903421907977</v>
      </c>
    </row>
    <row r="20" spans="5:13">
      <c r="E20" s="19" t="s">
        <v>104</v>
      </c>
      <c r="F20" s="17">
        <v>1.9965807513738927</v>
      </c>
      <c r="G20" s="17">
        <v>7.3985517605680649E-3</v>
      </c>
      <c r="H20" s="17">
        <v>269.86102361478839</v>
      </c>
      <c r="I20" s="17">
        <v>4.5114782367625102E-24</v>
      </c>
      <c r="J20" s="17">
        <v>1.9804606920919547</v>
      </c>
      <c r="K20" s="17">
        <v>2.0127008106558306</v>
      </c>
      <c r="L20" s="17">
        <v>1.9804606920919547</v>
      </c>
      <c r="M20" s="17">
        <v>2.0127008106558306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cols>
    <col min="5" max="5" width="18.4140625" customWidth="1"/>
  </cols>
  <sheetData>
    <row r="1" spans="1:10">
      <c r="A1" s="3">
        <v>7</v>
      </c>
      <c r="B1" s="4">
        <v>25.238131425341031</v>
      </c>
    </row>
    <row r="2" spans="1:10">
      <c r="A2" s="3">
        <v>14</v>
      </c>
      <c r="B2" s="4">
        <v>39.8334624692733</v>
      </c>
    </row>
    <row r="3" spans="1:10">
      <c r="A3" s="3">
        <v>21</v>
      </c>
      <c r="B3" s="4">
        <v>53.553590614794821</v>
      </c>
      <c r="E3" s="13" t="s">
        <v>117</v>
      </c>
    </row>
    <row r="4" spans="1:10">
      <c r="A4" s="3">
        <v>28</v>
      </c>
      <c r="B4" s="4">
        <v>69.678766467339173</v>
      </c>
    </row>
    <row r="5" spans="1:10" ht="15" customHeight="1">
      <c r="A5" s="3">
        <v>35</v>
      </c>
      <c r="B5" s="4">
        <v>82.757472966012003</v>
      </c>
      <c r="E5" s="14" t="s">
        <v>118</v>
      </c>
      <c r="F5" s="15"/>
    </row>
    <row r="6" spans="1:10">
      <c r="A6" s="3">
        <v>42</v>
      </c>
      <c r="B6" s="4">
        <v>97.105692814627957</v>
      </c>
      <c r="E6" s="13" t="s">
        <v>119</v>
      </c>
      <c r="F6" s="12">
        <v>0.99992050864320814</v>
      </c>
    </row>
    <row r="7" spans="1:10">
      <c r="A7" s="3">
        <v>49</v>
      </c>
      <c r="B7" s="4">
        <v>110.65239075695769</v>
      </c>
      <c r="E7" s="13" t="s">
        <v>120</v>
      </c>
      <c r="F7" s="12">
        <v>0.99984102360529203</v>
      </c>
    </row>
    <row r="8" spans="1:10">
      <c r="A8" s="3">
        <v>56</v>
      </c>
      <c r="B8" s="4">
        <v>125.95554133711786</v>
      </c>
      <c r="E8" s="13" t="s">
        <v>121</v>
      </c>
      <c r="F8" s="12">
        <v>0.99982777557239977</v>
      </c>
    </row>
    <row r="9" spans="1:10">
      <c r="A9" s="3">
        <v>63</v>
      </c>
      <c r="B9" s="4">
        <v>137.5592429768397</v>
      </c>
      <c r="E9" s="13" t="s">
        <v>122</v>
      </c>
      <c r="F9" s="12">
        <v>0.7731002067472651</v>
      </c>
    </row>
    <row r="10" spans="1:10">
      <c r="A10" s="3">
        <v>70</v>
      </c>
      <c r="B10" s="4">
        <v>152.58690510027682</v>
      </c>
      <c r="E10" s="16" t="s">
        <v>123</v>
      </c>
      <c r="F10" s="17">
        <v>14</v>
      </c>
    </row>
    <row r="11" spans="1:10">
      <c r="A11" s="3">
        <v>77</v>
      </c>
      <c r="B11" s="4">
        <v>167.29180736109996</v>
      </c>
    </row>
    <row r="12" spans="1:10">
      <c r="A12" s="3">
        <v>84</v>
      </c>
      <c r="B12" s="4">
        <v>180.26626912368224</v>
      </c>
      <c r="E12" s="13" t="s">
        <v>124</v>
      </c>
    </row>
    <row r="13" spans="1:10" ht="15" customHeight="1">
      <c r="A13" s="3">
        <v>91</v>
      </c>
      <c r="B13" s="4">
        <v>195.7741138594757</v>
      </c>
      <c r="E13" s="15"/>
      <c r="F13" s="14" t="s">
        <v>125</v>
      </c>
      <c r="G13" s="14" t="s">
        <v>126</v>
      </c>
      <c r="H13" s="14" t="s">
        <v>127</v>
      </c>
      <c r="I13" s="14" t="s">
        <v>128</v>
      </c>
      <c r="J13" s="14" t="s">
        <v>129</v>
      </c>
    </row>
    <row r="14" spans="1:10">
      <c r="A14" s="3">
        <v>98</v>
      </c>
      <c r="B14" s="4">
        <v>209.67607600741161</v>
      </c>
      <c r="E14" s="13" t="s">
        <v>130</v>
      </c>
      <c r="F14" s="12">
        <v>1</v>
      </c>
      <c r="G14" s="12">
        <v>45107.746704225763</v>
      </c>
      <c r="H14" s="12">
        <v>45107.746704225763</v>
      </c>
      <c r="I14" s="12">
        <v>75470.904377385727</v>
      </c>
      <c r="J14" s="12">
        <v>0</v>
      </c>
    </row>
    <row r="15" spans="1:10">
      <c r="A15" s="3">
        <v>105</v>
      </c>
      <c r="B15" s="4">
        <v>223.20041001430906</v>
      </c>
      <c r="E15" s="13" t="s">
        <v>131</v>
      </c>
      <c r="F15" s="12">
        <v>12</v>
      </c>
      <c r="G15" s="12">
        <v>7.1722071560719689</v>
      </c>
      <c r="H15" s="12">
        <v>0.59768392967266404</v>
      </c>
    </row>
    <row r="16" spans="1:10">
      <c r="E16" s="16" t="s">
        <v>132</v>
      </c>
      <c r="F16" s="17">
        <v>13</v>
      </c>
      <c r="G16" s="17">
        <v>45114.918911381836</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12.160533248387424</v>
      </c>
      <c r="G19" s="12">
        <v>0.48218836215522398</v>
      </c>
      <c r="H19" s="12">
        <v>25.219466504819454</v>
      </c>
      <c r="I19" s="12">
        <v>9.1693434530313307E-12</v>
      </c>
      <c r="J19" s="12">
        <v>11.109935072616064</v>
      </c>
      <c r="K19" s="12">
        <v>13.211131424158783</v>
      </c>
      <c r="L19" s="12">
        <v>11.109935072616064</v>
      </c>
      <c r="M19" s="12">
        <v>13.211131424158783</v>
      </c>
    </row>
    <row r="20" spans="5:13">
      <c r="E20" s="19" t="s">
        <v>104</v>
      </c>
      <c r="F20" s="17">
        <v>2.0115777627752642</v>
      </c>
      <c r="G20" s="17">
        <v>7.3222920862913337E-3</v>
      </c>
      <c r="H20" s="17">
        <v>274.71968327257866</v>
      </c>
      <c r="I20" s="17">
        <v>3.6419793377702164E-24</v>
      </c>
      <c r="J20" s="17">
        <v>1.995623859047811</v>
      </c>
      <c r="K20" s="17">
        <v>2.0275316665027172</v>
      </c>
      <c r="L20" s="17">
        <v>1.995623859047811</v>
      </c>
      <c r="M20" s="17">
        <v>2.0275316665027172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25.2354793785547</v>
      </c>
    </row>
    <row r="2" spans="1:10">
      <c r="A2" s="3">
        <v>14</v>
      </c>
      <c r="B2" s="4">
        <v>39.32991205987306</v>
      </c>
    </row>
    <row r="3" spans="1:10">
      <c r="A3" s="3">
        <v>21</v>
      </c>
      <c r="B3" s="4">
        <v>55.44951401631505</v>
      </c>
      <c r="E3" s="13" t="s">
        <v>117</v>
      </c>
    </row>
    <row r="4" spans="1:10">
      <c r="A4" s="3">
        <v>28</v>
      </c>
      <c r="B4" s="4">
        <v>68.107168019544858</v>
      </c>
    </row>
    <row r="5" spans="1:10" ht="15" customHeight="1">
      <c r="A5" s="3">
        <v>35</v>
      </c>
      <c r="B5" s="4">
        <v>81.429169185355818</v>
      </c>
      <c r="E5" s="14" t="s">
        <v>118</v>
      </c>
      <c r="F5" s="15"/>
    </row>
    <row r="6" spans="1:10">
      <c r="A6" s="3">
        <v>42</v>
      </c>
      <c r="B6" s="4">
        <v>96.303742240814003</v>
      </c>
      <c r="E6" s="13" t="s">
        <v>119</v>
      </c>
      <c r="F6" s="12">
        <v>0.99989203149234795</v>
      </c>
    </row>
    <row r="7" spans="1:10">
      <c r="A7" s="3">
        <v>49</v>
      </c>
      <c r="B7" s="4">
        <v>111.05785959103744</v>
      </c>
      <c r="E7" s="13" t="s">
        <v>120</v>
      </c>
      <c r="F7" s="12">
        <v>0.99978407464189445</v>
      </c>
    </row>
    <row r="8" spans="1:10">
      <c r="A8" s="3">
        <v>56</v>
      </c>
      <c r="B8" s="4">
        <v>125.28806305904136</v>
      </c>
      <c r="E8" s="13" t="s">
        <v>121</v>
      </c>
      <c r="F8" s="12">
        <v>0.99976608086205232</v>
      </c>
    </row>
    <row r="9" spans="1:10">
      <c r="A9" s="3">
        <v>63</v>
      </c>
      <c r="B9" s="4">
        <v>137.01904603486244</v>
      </c>
      <c r="E9" s="13" t="s">
        <v>122</v>
      </c>
      <c r="F9" s="12">
        <v>0.8964401306856552</v>
      </c>
    </row>
    <row r="10" spans="1:10">
      <c r="A10" s="3">
        <v>70</v>
      </c>
      <c r="B10" s="4">
        <v>152.3476588994578</v>
      </c>
      <c r="E10" s="16" t="s">
        <v>123</v>
      </c>
      <c r="F10" s="17">
        <v>14</v>
      </c>
    </row>
    <row r="11" spans="1:10">
      <c r="A11" s="3">
        <v>77</v>
      </c>
      <c r="B11" s="4">
        <v>167.04526587492828</v>
      </c>
    </row>
    <row r="12" spans="1:10">
      <c r="A12" s="3">
        <v>84</v>
      </c>
      <c r="B12" s="4">
        <v>180.21163995406744</v>
      </c>
      <c r="E12" s="13" t="s">
        <v>124</v>
      </c>
    </row>
    <row r="13" spans="1:10" ht="15" customHeight="1">
      <c r="A13" s="3">
        <v>91</v>
      </c>
      <c r="B13" s="4">
        <v>193.30059124805231</v>
      </c>
      <c r="E13" s="15"/>
      <c r="F13" s="14" t="s">
        <v>125</v>
      </c>
      <c r="G13" s="14" t="s">
        <v>126</v>
      </c>
      <c r="H13" s="14" t="s">
        <v>127</v>
      </c>
      <c r="I13" s="14" t="s">
        <v>128</v>
      </c>
      <c r="J13" s="14" t="s">
        <v>129</v>
      </c>
    </row>
    <row r="14" spans="1:10">
      <c r="A14" s="3">
        <v>98</v>
      </c>
      <c r="B14" s="4">
        <v>209.55116651000074</v>
      </c>
      <c r="E14" s="13" t="s">
        <v>130</v>
      </c>
      <c r="F14" s="12">
        <v>1</v>
      </c>
      <c r="G14" s="12">
        <v>44650.506801536561</v>
      </c>
      <c r="H14" s="12">
        <v>44650.506801536561</v>
      </c>
      <c r="I14" s="12">
        <v>55562.760210128596</v>
      </c>
      <c r="J14" s="12">
        <v>0</v>
      </c>
    </row>
    <row r="15" spans="1:10">
      <c r="A15" s="3">
        <v>105</v>
      </c>
      <c r="B15" s="4">
        <v>221.76654038944937</v>
      </c>
      <c r="E15" s="13" t="s">
        <v>131</v>
      </c>
      <c r="F15" s="12">
        <v>12</v>
      </c>
      <c r="G15" s="12">
        <v>9.6432588948445748</v>
      </c>
      <c r="H15" s="12">
        <v>0.80360490790371453</v>
      </c>
    </row>
    <row r="16" spans="1:10">
      <c r="E16" s="16" t="s">
        <v>132</v>
      </c>
      <c r="F16" s="17">
        <v>13</v>
      </c>
      <c r="G16" s="17">
        <v>44660.150060431406</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12.219812388538458</v>
      </c>
      <c r="G19" s="12">
        <v>0.55911639217403453</v>
      </c>
      <c r="H19" s="12">
        <v>21.85557883757204</v>
      </c>
      <c r="I19" s="12">
        <v>4.9386643164968815E-11</v>
      </c>
      <c r="J19" s="12">
        <v>11.001602436236023</v>
      </c>
      <c r="K19" s="12">
        <v>13.438022340840892</v>
      </c>
      <c r="L19" s="12">
        <v>11.001602436236023</v>
      </c>
      <c r="M19" s="12">
        <v>13.438022340840892</v>
      </c>
    </row>
    <row r="20" spans="5:13">
      <c r="E20" s="19" t="s">
        <v>104</v>
      </c>
      <c r="F20" s="17">
        <v>2.0013564989715036</v>
      </c>
      <c r="G20" s="17">
        <v>8.4904859906464684E-3</v>
      </c>
      <c r="H20" s="17">
        <v>235.71754328036053</v>
      </c>
      <c r="I20" s="17">
        <v>2.2865152783851918E-23</v>
      </c>
      <c r="J20" s="17">
        <v>1.9828573194116412</v>
      </c>
      <c r="K20" s="17">
        <v>2.0198556785313659</v>
      </c>
      <c r="L20" s="17">
        <v>1.9828573194116412</v>
      </c>
      <c r="M20" s="17">
        <v>2.0198556785313659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26.271776603001307</v>
      </c>
    </row>
    <row r="2" spans="1:10">
      <c r="A2" s="3">
        <v>14</v>
      </c>
      <c r="B2" s="4">
        <v>41.865725693122307</v>
      </c>
    </row>
    <row r="3" spans="1:10">
      <c r="A3" s="3">
        <v>21</v>
      </c>
      <c r="B3" s="4">
        <v>53.353829647794548</v>
      </c>
      <c r="E3" s="13" t="s">
        <v>117</v>
      </c>
    </row>
    <row r="4" spans="1:10">
      <c r="A4" s="3">
        <v>28</v>
      </c>
      <c r="B4" s="4">
        <v>67.328029767242086</v>
      </c>
    </row>
    <row r="5" spans="1:10" ht="15" customHeight="1">
      <c r="A5" s="3">
        <v>35</v>
      </c>
      <c r="B5" s="4">
        <v>81.845954496323088</v>
      </c>
      <c r="E5" s="14" t="s">
        <v>118</v>
      </c>
      <c r="F5" s="15"/>
    </row>
    <row r="6" spans="1:10">
      <c r="A6" s="3">
        <v>42</v>
      </c>
      <c r="B6" s="4">
        <v>96.48085856271662</v>
      </c>
      <c r="E6" s="13" t="s">
        <v>119</v>
      </c>
      <c r="F6" s="12">
        <v>0.99989073053405975</v>
      </c>
    </row>
    <row r="7" spans="1:10">
      <c r="A7" s="3">
        <v>49</v>
      </c>
      <c r="B7" s="4">
        <v>110.37127409305818</v>
      </c>
      <c r="E7" s="13" t="s">
        <v>120</v>
      </c>
      <c r="F7" s="12">
        <v>0.99978147300793563</v>
      </c>
    </row>
    <row r="8" spans="1:10">
      <c r="A8" s="3">
        <v>56</v>
      </c>
      <c r="B8" s="4">
        <v>125.72802822794291</v>
      </c>
      <c r="E8" s="13" t="s">
        <v>121</v>
      </c>
      <c r="F8" s="12">
        <v>0.99976326242526359</v>
      </c>
    </row>
    <row r="9" spans="1:10">
      <c r="A9" s="3">
        <v>63</v>
      </c>
      <c r="B9" s="4">
        <v>138.16731083832533</v>
      </c>
      <c r="E9" s="13" t="s">
        <v>122</v>
      </c>
      <c r="F9" s="12">
        <v>0.90144304077383519</v>
      </c>
    </row>
    <row r="10" spans="1:10">
      <c r="A10" s="3">
        <v>70</v>
      </c>
      <c r="B10" s="4">
        <v>151.97110087539599</v>
      </c>
      <c r="E10" s="16" t="s">
        <v>123</v>
      </c>
      <c r="F10" s="17">
        <v>14</v>
      </c>
    </row>
    <row r="11" spans="1:10">
      <c r="A11" s="3">
        <v>77</v>
      </c>
      <c r="B11" s="4">
        <v>167.24786037798037</v>
      </c>
    </row>
    <row r="12" spans="1:10">
      <c r="A12" s="3">
        <v>84</v>
      </c>
      <c r="B12" s="4">
        <v>179.12249123912335</v>
      </c>
      <c r="E12" s="13" t="s">
        <v>124</v>
      </c>
    </row>
    <row r="13" spans="1:10" ht="15" customHeight="1">
      <c r="A13" s="3">
        <v>91</v>
      </c>
      <c r="B13" s="4">
        <v>193.74875375610267</v>
      </c>
      <c r="E13" s="15"/>
      <c r="F13" s="14" t="s">
        <v>125</v>
      </c>
      <c r="G13" s="14" t="s">
        <v>126</v>
      </c>
      <c r="H13" s="14" t="s">
        <v>127</v>
      </c>
      <c r="I13" s="14" t="s">
        <v>128</v>
      </c>
      <c r="J13" s="14" t="s">
        <v>129</v>
      </c>
    </row>
    <row r="14" spans="1:10">
      <c r="A14" s="3">
        <v>98</v>
      </c>
      <c r="B14" s="4">
        <v>208.66142478795888</v>
      </c>
      <c r="E14" s="13" t="s">
        <v>130</v>
      </c>
      <c r="F14" s="12">
        <v>1</v>
      </c>
      <c r="G14" s="12">
        <v>44612.62967004352</v>
      </c>
      <c r="H14" s="12">
        <v>44612.62967004352</v>
      </c>
      <c r="I14" s="12">
        <v>54901.124857669674</v>
      </c>
      <c r="J14" s="12">
        <v>0</v>
      </c>
    </row>
    <row r="15" spans="1:10">
      <c r="A15" s="3">
        <v>105</v>
      </c>
      <c r="B15" s="4">
        <v>222.89931094671138</v>
      </c>
      <c r="E15" s="13" t="s">
        <v>131</v>
      </c>
      <c r="F15" s="12">
        <v>12</v>
      </c>
      <c r="G15" s="12">
        <v>9.7511946691149394</v>
      </c>
      <c r="H15" s="12">
        <v>0.81259955575957832</v>
      </c>
    </row>
    <row r="16" spans="1:10">
      <c r="E16" s="16" t="s">
        <v>132</v>
      </c>
      <c r="F16" s="17">
        <v>13</v>
      </c>
      <c r="G16" s="17">
        <v>44622.380864712635</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12.312089632550283</v>
      </c>
      <c r="G19" s="12">
        <v>0.5622367444910763</v>
      </c>
      <c r="H19" s="12">
        <v>21.898408016172798</v>
      </c>
      <c r="I19" s="12">
        <v>4.8265690955063697E-11</v>
      </c>
      <c r="J19" s="12">
        <v>11.087081016677049</v>
      </c>
      <c r="K19" s="12">
        <v>13.537098248423517</v>
      </c>
      <c r="L19" s="12">
        <v>11.087081016677049</v>
      </c>
      <c r="M19" s="12">
        <v>13.537098248423517</v>
      </c>
    </row>
    <row r="20" spans="5:13">
      <c r="E20" s="19" t="s">
        <v>104</v>
      </c>
      <c r="F20" s="17">
        <v>2.0005074411213624</v>
      </c>
      <c r="G20" s="17">
        <v>8.5378702347941142E-3</v>
      </c>
      <c r="H20" s="17">
        <v>234.30989065267792</v>
      </c>
      <c r="I20" s="17">
        <v>2.4568759448347295E-23</v>
      </c>
      <c r="J20" s="17">
        <v>1.9819050201638035</v>
      </c>
      <c r="K20" s="17">
        <v>2.019109862078921</v>
      </c>
      <c r="L20" s="17">
        <v>1.9819050201638035</v>
      </c>
      <c r="M20" s="17">
        <v>2.019109862078921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27.391835674345415</v>
      </c>
    </row>
    <row r="2" spans="1:10">
      <c r="A2" s="3">
        <v>14</v>
      </c>
      <c r="B2" s="4">
        <v>40.347421737379257</v>
      </c>
    </row>
    <row r="3" spans="1:10">
      <c r="A3" s="3">
        <v>21</v>
      </c>
      <c r="B3" s="4">
        <v>53.175549794050163</v>
      </c>
      <c r="E3" s="13" t="s">
        <v>117</v>
      </c>
    </row>
    <row r="4" spans="1:10">
      <c r="A4" s="3">
        <v>28</v>
      </c>
      <c r="B4" s="4">
        <v>67.758572190874858</v>
      </c>
    </row>
    <row r="5" spans="1:10" ht="15" customHeight="1">
      <c r="A5" s="3">
        <v>35</v>
      </c>
      <c r="B5" s="4">
        <v>82.434607590334366</v>
      </c>
      <c r="E5" s="14" t="s">
        <v>118</v>
      </c>
      <c r="F5" s="15"/>
    </row>
    <row r="6" spans="1:10">
      <c r="A6" s="3">
        <v>42</v>
      </c>
      <c r="B6" s="4">
        <v>97.70776851696445</v>
      </c>
      <c r="E6" s="13" t="s">
        <v>119</v>
      </c>
      <c r="F6" s="12">
        <v>0.99989125752285024</v>
      </c>
    </row>
    <row r="7" spans="1:10">
      <c r="A7" s="3">
        <v>49</v>
      </c>
      <c r="B7" s="4">
        <v>111.6433373501534</v>
      </c>
      <c r="E7" s="13" t="s">
        <v>120</v>
      </c>
      <c r="F7" s="12">
        <v>0.99978252687062685</v>
      </c>
    </row>
    <row r="8" spans="1:10">
      <c r="A8" s="3">
        <v>56</v>
      </c>
      <c r="B8" s="4">
        <v>124.88819241834047</v>
      </c>
      <c r="E8" s="13" t="s">
        <v>121</v>
      </c>
      <c r="F8" s="12">
        <v>0.99976440410984579</v>
      </c>
    </row>
    <row r="9" spans="1:10">
      <c r="A9" s="3">
        <v>63</v>
      </c>
      <c r="B9" s="4">
        <v>139.86379897251226</v>
      </c>
      <c r="E9" s="13" t="s">
        <v>122</v>
      </c>
      <c r="F9" s="12">
        <v>0.90322430060295311</v>
      </c>
    </row>
    <row r="10" spans="1:10">
      <c r="A10" s="3">
        <v>70</v>
      </c>
      <c r="B10" s="4">
        <v>153.5715547396604</v>
      </c>
      <c r="E10" s="16" t="s">
        <v>123</v>
      </c>
      <c r="F10" s="17">
        <v>14</v>
      </c>
    </row>
    <row r="11" spans="1:10">
      <c r="A11" s="3">
        <v>77</v>
      </c>
      <c r="B11" s="4">
        <v>165.6174750565564</v>
      </c>
    </row>
    <row r="12" spans="1:10">
      <c r="A12" s="3">
        <v>84</v>
      </c>
      <c r="B12" s="4">
        <v>180.07249759158233</v>
      </c>
      <c r="E12" s="13" t="s">
        <v>124</v>
      </c>
    </row>
    <row r="13" spans="1:10" ht="15" customHeight="1">
      <c r="A13" s="3">
        <v>91</v>
      </c>
      <c r="B13" s="4">
        <v>194.03159453364111</v>
      </c>
      <c r="E13" s="15"/>
      <c r="F13" s="14" t="s">
        <v>125</v>
      </c>
      <c r="G13" s="14" t="s">
        <v>126</v>
      </c>
      <c r="H13" s="14" t="s">
        <v>127</v>
      </c>
      <c r="I13" s="14" t="s">
        <v>128</v>
      </c>
      <c r="J13" s="14" t="s">
        <v>129</v>
      </c>
    </row>
    <row r="14" spans="1:10">
      <c r="A14" s="3">
        <v>98</v>
      </c>
      <c r="B14" s="4">
        <v>209.69302756725747</v>
      </c>
      <c r="E14" s="13" t="s">
        <v>130</v>
      </c>
      <c r="F14" s="12">
        <v>1</v>
      </c>
      <c r="G14" s="12">
        <v>45006.206802504828</v>
      </c>
      <c r="H14" s="12">
        <v>45006.206802504828</v>
      </c>
      <c r="I14" s="12">
        <v>55167.230806994798</v>
      </c>
      <c r="J14" s="12">
        <v>0</v>
      </c>
    </row>
    <row r="15" spans="1:10">
      <c r="A15" s="3">
        <v>105</v>
      </c>
      <c r="B15" s="4">
        <v>223.25023156930791</v>
      </c>
      <c r="E15" s="13" t="s">
        <v>131</v>
      </c>
      <c r="F15" s="12">
        <v>12</v>
      </c>
      <c r="G15" s="12">
        <v>9.7897696463963246</v>
      </c>
      <c r="H15" s="12">
        <v>0.81581413719969376</v>
      </c>
    </row>
    <row r="16" spans="1:10">
      <c r="E16" s="16" t="s">
        <v>132</v>
      </c>
      <c r="F16" s="17">
        <v>13</v>
      </c>
      <c r="G16" s="17">
        <v>45015.996572151227</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12.164171238100153</v>
      </c>
      <c r="G19" s="12">
        <v>0.5633477295252014</v>
      </c>
      <c r="H19" s="12">
        <v>21.592651573038758</v>
      </c>
      <c r="I19" s="12">
        <v>5.6915791305167384E-11</v>
      </c>
      <c r="J19" s="12">
        <v>10.936741993813275</v>
      </c>
      <c r="K19" s="12">
        <v>13.39160048238703</v>
      </c>
      <c r="L19" s="12">
        <v>10.936741993813275</v>
      </c>
      <c r="M19" s="12">
        <v>13.39160048238703</v>
      </c>
    </row>
    <row r="20" spans="5:13">
      <c r="E20" s="19" t="s">
        <v>104</v>
      </c>
      <c r="F20" s="17">
        <v>2.0093124037157413</v>
      </c>
      <c r="G20" s="17">
        <v>8.5547411457530635E-3</v>
      </c>
      <c r="H20" s="17">
        <v>234.87705466263571</v>
      </c>
      <c r="I20" s="17">
        <v>2.3866356739455215E-23</v>
      </c>
      <c r="J20" s="17">
        <v>1.9906732242014271</v>
      </c>
      <c r="K20" s="17">
        <v>2.0279515832300556</v>
      </c>
      <c r="L20" s="17">
        <v>1.9906732242014271</v>
      </c>
      <c r="M20" s="17">
        <v>2.0279515832300556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27.252845200460072</v>
      </c>
    </row>
    <row r="2" spans="1:10">
      <c r="A2" s="3">
        <v>14</v>
      </c>
      <c r="B2" s="4">
        <v>41.558330220293499</v>
      </c>
    </row>
    <row r="3" spans="1:10">
      <c r="A3" s="3">
        <v>21</v>
      </c>
      <c r="B3" s="4">
        <v>55.847569549990965</v>
      </c>
      <c r="E3" s="13" t="s">
        <v>117</v>
      </c>
    </row>
    <row r="4" spans="1:10">
      <c r="A4" s="3">
        <v>28</v>
      </c>
      <c r="B4" s="4">
        <v>68.531063661327352</v>
      </c>
    </row>
    <row r="5" spans="1:10" ht="15" customHeight="1">
      <c r="A5" s="3">
        <v>35</v>
      </c>
      <c r="B5" s="4">
        <v>83.919238321814504</v>
      </c>
      <c r="E5" s="14" t="s">
        <v>118</v>
      </c>
      <c r="F5" s="15"/>
    </row>
    <row r="6" spans="1:10">
      <c r="A6" s="3">
        <v>42</v>
      </c>
      <c r="B6" s="4">
        <v>96.791443968006533</v>
      </c>
      <c r="E6" s="13" t="s">
        <v>119</v>
      </c>
      <c r="F6" s="12">
        <v>0.99987597971473974</v>
      </c>
    </row>
    <row r="7" spans="1:10">
      <c r="A7" s="3">
        <v>49</v>
      </c>
      <c r="B7" s="4">
        <v>109.07209804185341</v>
      </c>
      <c r="E7" s="13" t="s">
        <v>120</v>
      </c>
      <c r="F7" s="12">
        <v>0.99975197481051059</v>
      </c>
    </row>
    <row r="8" spans="1:10">
      <c r="A8" s="3">
        <v>56</v>
      </c>
      <c r="B8" s="4">
        <v>124.63585645222363</v>
      </c>
      <c r="E8" s="13" t="s">
        <v>121</v>
      </c>
      <c r="F8" s="12">
        <v>0.99973130604471983</v>
      </c>
    </row>
    <row r="9" spans="1:10">
      <c r="A9" s="3">
        <v>63</v>
      </c>
      <c r="B9" s="4">
        <v>137.32158067029874</v>
      </c>
      <c r="E9" s="13" t="s">
        <v>122</v>
      </c>
      <c r="F9" s="12">
        <v>0.9532921481282538</v>
      </c>
    </row>
    <row r="10" spans="1:10">
      <c r="A10" s="3">
        <v>70</v>
      </c>
      <c r="B10" s="4">
        <v>151.87020082922371</v>
      </c>
      <c r="E10" s="16" t="s">
        <v>123</v>
      </c>
      <c r="F10" s="17">
        <v>14</v>
      </c>
    </row>
    <row r="11" spans="1:10">
      <c r="A11" s="3">
        <v>77</v>
      </c>
      <c r="B11" s="4">
        <v>167.62549624916821</v>
      </c>
    </row>
    <row r="12" spans="1:10">
      <c r="A12" s="3">
        <v>84</v>
      </c>
      <c r="B12" s="4">
        <v>179.68857835164468</v>
      </c>
      <c r="E12" s="13" t="s">
        <v>124</v>
      </c>
    </row>
    <row r="13" spans="1:10" ht="15" customHeight="1">
      <c r="A13" s="3">
        <v>91</v>
      </c>
      <c r="B13" s="4">
        <v>195.61385404463658</v>
      </c>
      <c r="E13" s="15"/>
      <c r="F13" s="14" t="s">
        <v>125</v>
      </c>
      <c r="G13" s="14" t="s">
        <v>126</v>
      </c>
      <c r="H13" s="14" t="s">
        <v>127</v>
      </c>
      <c r="I13" s="14" t="s">
        <v>128</v>
      </c>
      <c r="J13" s="14" t="s">
        <v>129</v>
      </c>
    </row>
    <row r="14" spans="1:10">
      <c r="A14" s="3">
        <v>98</v>
      </c>
      <c r="B14" s="4">
        <v>208.32197299252903</v>
      </c>
      <c r="E14" s="13" t="s">
        <v>130</v>
      </c>
      <c r="F14" s="12">
        <v>1</v>
      </c>
      <c r="G14" s="12">
        <v>43957.173449071583</v>
      </c>
      <c r="H14" s="12">
        <v>43957.173449071583</v>
      </c>
      <c r="I14" s="12">
        <v>48370.182570673278</v>
      </c>
      <c r="J14" s="12">
        <v>0</v>
      </c>
    </row>
    <row r="15" spans="1:10">
      <c r="A15" s="3">
        <v>105</v>
      </c>
      <c r="B15" s="4">
        <v>221.40735730357761</v>
      </c>
      <c r="E15" s="13" t="s">
        <v>131</v>
      </c>
      <c r="F15" s="12">
        <v>12</v>
      </c>
      <c r="G15" s="12">
        <v>10.905191036195767</v>
      </c>
      <c r="H15" s="12">
        <v>0.90876591968298059</v>
      </c>
    </row>
    <row r="16" spans="1:10">
      <c r="E16" s="16" t="s">
        <v>132</v>
      </c>
      <c r="F16" s="17">
        <v>13</v>
      </c>
      <c r="G16" s="17">
        <v>43968.078640107778</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13.433494311604363</v>
      </c>
      <c r="G19" s="12">
        <v>0.59457541926601476</v>
      </c>
      <c r="H19" s="12">
        <v>22.593423603329587</v>
      </c>
      <c r="I19" s="12">
        <v>3.344924242071049E-11</v>
      </c>
      <c r="J19" s="12">
        <v>12.138025777176569</v>
      </c>
      <c r="K19" s="12">
        <v>14.728962846032157</v>
      </c>
      <c r="L19" s="12">
        <v>12.138025777176569</v>
      </c>
      <c r="M19" s="12">
        <v>14.728962846032157</v>
      </c>
    </row>
    <row r="20" spans="5:13">
      <c r="E20" s="19" t="s">
        <v>104</v>
      </c>
      <c r="F20" s="17">
        <v>1.9857571672198411</v>
      </c>
      <c r="G20" s="17">
        <v>9.0289505697223413E-3</v>
      </c>
      <c r="H20" s="17">
        <v>219.93222267478944</v>
      </c>
      <c r="I20" s="17">
        <v>5.252099352489593E-23</v>
      </c>
      <c r="J20" s="17">
        <v>1.9660847741424103</v>
      </c>
      <c r="K20" s="17">
        <v>2.0054295602972716</v>
      </c>
      <c r="L20" s="17">
        <v>1.9660847741424103</v>
      </c>
      <c r="M20" s="17">
        <v>2.0054295602972716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27.486131579251353</v>
      </c>
    </row>
    <row r="2" spans="1:10">
      <c r="A2" s="3">
        <v>14</v>
      </c>
      <c r="B2" s="4">
        <v>41.294499398411588</v>
      </c>
    </row>
    <row r="3" spans="1:10">
      <c r="A3" s="3">
        <v>21</v>
      </c>
      <c r="B3" s="4">
        <v>54.36585627338539</v>
      </c>
      <c r="E3" s="13" t="s">
        <v>117</v>
      </c>
    </row>
    <row r="4" spans="1:10">
      <c r="A4" s="3">
        <v>28</v>
      </c>
      <c r="B4" s="4">
        <v>69.823322635114948</v>
      </c>
    </row>
    <row r="5" spans="1:10" ht="15" customHeight="1">
      <c r="A5" s="3">
        <v>35</v>
      </c>
      <c r="B5" s="4">
        <v>83.987180037105858</v>
      </c>
      <c r="E5" s="14" t="s">
        <v>118</v>
      </c>
      <c r="F5" s="15"/>
    </row>
    <row r="6" spans="1:10">
      <c r="A6" s="3">
        <v>42</v>
      </c>
      <c r="B6" s="4">
        <v>97.556282708611306</v>
      </c>
      <c r="E6" s="13" t="s">
        <v>119</v>
      </c>
      <c r="F6" s="12">
        <v>0.99993340851637624</v>
      </c>
    </row>
    <row r="7" spans="1:10">
      <c r="A7" s="3">
        <v>49</v>
      </c>
      <c r="B7" s="4">
        <v>110.34940434739022</v>
      </c>
      <c r="E7" s="13" t="s">
        <v>120</v>
      </c>
      <c r="F7" s="12">
        <v>0.9998668214671782</v>
      </c>
    </row>
    <row r="8" spans="1:10">
      <c r="A8" s="3">
        <v>56</v>
      </c>
      <c r="B8" s="4">
        <v>125.3352957757442</v>
      </c>
      <c r="E8" s="13" t="s">
        <v>121</v>
      </c>
      <c r="F8" s="12">
        <v>0.99985572325610972</v>
      </c>
    </row>
    <row r="9" spans="1:10">
      <c r="A9" s="3">
        <v>63</v>
      </c>
      <c r="B9" s="4">
        <v>139.61573515169866</v>
      </c>
      <c r="E9" s="13" t="s">
        <v>122</v>
      </c>
      <c r="F9" s="12">
        <v>0.70134630353458038</v>
      </c>
    </row>
    <row r="10" spans="1:10">
      <c r="A10" s="3">
        <v>70</v>
      </c>
      <c r="B10" s="4">
        <v>153.40892701259054</v>
      </c>
      <c r="E10" s="16" t="s">
        <v>123</v>
      </c>
      <c r="F10" s="17">
        <v>14</v>
      </c>
    </row>
    <row r="11" spans="1:10">
      <c r="A11" s="3">
        <v>77</v>
      </c>
      <c r="B11" s="4">
        <v>166.99426189647841</v>
      </c>
    </row>
    <row r="12" spans="1:10">
      <c r="A12" s="3">
        <v>84</v>
      </c>
      <c r="B12" s="4">
        <v>180.18481287648711</v>
      </c>
      <c r="E12" s="13" t="s">
        <v>124</v>
      </c>
    </row>
    <row r="13" spans="1:10" ht="15" customHeight="1">
      <c r="A13" s="3">
        <v>91</v>
      </c>
      <c r="B13" s="4">
        <v>195.68028157316277</v>
      </c>
      <c r="E13" s="15"/>
      <c r="F13" s="14" t="s">
        <v>125</v>
      </c>
      <c r="G13" s="14" t="s">
        <v>126</v>
      </c>
      <c r="H13" s="14" t="s">
        <v>127</v>
      </c>
      <c r="I13" s="14" t="s">
        <v>128</v>
      </c>
      <c r="J13" s="14" t="s">
        <v>129</v>
      </c>
    </row>
    <row r="14" spans="1:10">
      <c r="A14" s="3">
        <v>98</v>
      </c>
      <c r="B14" s="4">
        <v>207.68779185373353</v>
      </c>
      <c r="E14" s="13" t="s">
        <v>130</v>
      </c>
      <c r="F14" s="12">
        <v>1</v>
      </c>
      <c r="G14" s="12">
        <v>44315.351880224305</v>
      </c>
      <c r="H14" s="12">
        <v>44315.351880224305</v>
      </c>
      <c r="I14" s="12">
        <v>90092.611799970327</v>
      </c>
      <c r="J14" s="12">
        <v>0</v>
      </c>
    </row>
    <row r="15" spans="1:10">
      <c r="A15" s="3">
        <v>105</v>
      </c>
      <c r="B15" s="4">
        <v>223.37647788693158</v>
      </c>
      <c r="E15" s="13" t="s">
        <v>131</v>
      </c>
      <c r="F15" s="12">
        <v>12</v>
      </c>
      <c r="G15" s="12">
        <v>5.902639649779438</v>
      </c>
      <c r="H15" s="12">
        <v>0.49188663748161982</v>
      </c>
    </row>
    <row r="16" spans="1:10">
      <c r="E16" s="16" t="s">
        <v>132</v>
      </c>
      <c r="F16" s="17">
        <v>13</v>
      </c>
      <c r="G16" s="17">
        <v>44321.254519874085</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13.485631683037582</v>
      </c>
      <c r="G19" s="12">
        <v>0.43743491781979948</v>
      </c>
      <c r="H19" s="12">
        <v>30.828887072506095</v>
      </c>
      <c r="I19" s="12">
        <v>8.5220587128461498E-13</v>
      </c>
      <c r="J19" s="12">
        <v>12.532542884655854</v>
      </c>
      <c r="K19" s="12">
        <v>14.43872048141931</v>
      </c>
      <c r="L19" s="12">
        <v>12.532542884655854</v>
      </c>
      <c r="M19" s="12">
        <v>14.43872048141931</v>
      </c>
    </row>
    <row r="20" spans="5:13">
      <c r="E20" s="19" t="s">
        <v>104</v>
      </c>
      <c r="F20" s="17">
        <v>1.9938310754673712</v>
      </c>
      <c r="G20" s="17">
        <v>6.6426867349160821E-3</v>
      </c>
      <c r="H20" s="17">
        <v>300.15431331228649</v>
      </c>
      <c r="I20" s="17">
        <v>1.2587577847753475E-24</v>
      </c>
      <c r="J20" s="17">
        <v>1.979357904578861</v>
      </c>
      <c r="K20" s="17">
        <v>2.0083042463558813</v>
      </c>
      <c r="L20" s="17">
        <v>1.979357904578861</v>
      </c>
      <c r="M20" s="17">
        <v>2.0083042463558813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sheetData>
    <row r="1" spans="1:10">
      <c r="A1" s="3">
        <v>7</v>
      </c>
      <c r="B1" s="4">
        <v>27.02785129948921</v>
      </c>
    </row>
    <row r="2" spans="1:10">
      <c r="A2" s="3">
        <v>14</v>
      </c>
      <c r="B2" s="4">
        <v>41.459223430856483</v>
      </c>
    </row>
    <row r="3" spans="1:10">
      <c r="A3" s="3">
        <v>21</v>
      </c>
      <c r="B3" s="4">
        <v>53.311881171203098</v>
      </c>
      <c r="E3" s="13" t="s">
        <v>117</v>
      </c>
    </row>
    <row r="4" spans="1:10">
      <c r="A4" s="3">
        <v>28</v>
      </c>
      <c r="B4" s="4">
        <v>68.817280291184929</v>
      </c>
    </row>
    <row r="5" spans="1:10" ht="15" customHeight="1">
      <c r="A5" s="3">
        <v>35</v>
      </c>
      <c r="B5" s="4">
        <v>82.469357352077921</v>
      </c>
      <c r="E5" s="14" t="s">
        <v>118</v>
      </c>
      <c r="F5" s="15"/>
    </row>
    <row r="6" spans="1:10">
      <c r="A6" s="3">
        <v>42</v>
      </c>
      <c r="B6" s="4">
        <v>95.753432786993102</v>
      </c>
      <c r="E6" s="13" t="s">
        <v>119</v>
      </c>
      <c r="F6" s="12">
        <v>0.99987151036520361</v>
      </c>
    </row>
    <row r="7" spans="1:10">
      <c r="A7" s="3">
        <v>49</v>
      </c>
      <c r="B7" s="4">
        <v>109.40446129873925</v>
      </c>
      <c r="E7" s="13" t="s">
        <v>120</v>
      </c>
      <c r="F7" s="12">
        <v>0.99974303723999347</v>
      </c>
    </row>
    <row r="8" spans="1:10">
      <c r="A8" s="3">
        <v>56</v>
      </c>
      <c r="B8" s="4">
        <v>125.11009346483941</v>
      </c>
      <c r="E8" s="13" t="s">
        <v>121</v>
      </c>
      <c r="F8" s="12">
        <v>0.99972162367665962</v>
      </c>
    </row>
    <row r="9" spans="1:10">
      <c r="A9" s="3">
        <v>63</v>
      </c>
      <c r="B9" s="4">
        <v>137.73577454651573</v>
      </c>
      <c r="E9" s="13" t="s">
        <v>122</v>
      </c>
      <c r="F9" s="12">
        <v>0.98007304847214205</v>
      </c>
    </row>
    <row r="10" spans="1:10">
      <c r="A10" s="3">
        <v>70</v>
      </c>
      <c r="B10" s="4">
        <v>151.95668136747929</v>
      </c>
      <c r="E10" s="16" t="s">
        <v>123</v>
      </c>
      <c r="F10" s="17">
        <v>14</v>
      </c>
    </row>
    <row r="11" spans="1:10">
      <c r="A11" s="3">
        <v>77</v>
      </c>
      <c r="B11" s="4">
        <v>165.13956986202643</v>
      </c>
    </row>
    <row r="12" spans="1:10">
      <c r="A12" s="3">
        <v>84</v>
      </c>
      <c r="B12" s="4">
        <v>179.75957958772887</v>
      </c>
      <c r="E12" s="13" t="s">
        <v>124</v>
      </c>
    </row>
    <row r="13" spans="1:10" ht="15" customHeight="1">
      <c r="A13" s="3">
        <v>91</v>
      </c>
      <c r="B13" s="4">
        <v>195.97385366856878</v>
      </c>
      <c r="E13" s="15"/>
      <c r="F13" s="14" t="s">
        <v>125</v>
      </c>
      <c r="G13" s="14" t="s">
        <v>126</v>
      </c>
      <c r="H13" s="14" t="s">
        <v>127</v>
      </c>
      <c r="I13" s="14" t="s">
        <v>128</v>
      </c>
      <c r="J13" s="14" t="s">
        <v>129</v>
      </c>
    </row>
    <row r="14" spans="1:10">
      <c r="A14" s="3">
        <v>98</v>
      </c>
      <c r="B14" s="4">
        <v>209.94473675715511</v>
      </c>
      <c r="E14" s="13" t="s">
        <v>130</v>
      </c>
      <c r="F14" s="12">
        <v>1</v>
      </c>
      <c r="G14" s="12">
        <v>44845.2385780935</v>
      </c>
      <c r="H14" s="12">
        <v>44845.2385780935</v>
      </c>
      <c r="I14" s="12">
        <v>46687.373869179733</v>
      </c>
      <c r="J14" s="12">
        <v>0</v>
      </c>
    </row>
    <row r="15" spans="1:10">
      <c r="A15" s="3">
        <v>105</v>
      </c>
      <c r="B15" s="4">
        <v>222.42769709803082</v>
      </c>
      <c r="E15" s="13" t="s">
        <v>131</v>
      </c>
      <c r="F15" s="12">
        <v>12</v>
      </c>
      <c r="G15" s="12">
        <v>11.526518164097732</v>
      </c>
      <c r="H15" s="12">
        <v>0.96054318034147768</v>
      </c>
    </row>
    <row r="16" spans="1:10">
      <c r="E16" s="16" t="s">
        <v>132</v>
      </c>
      <c r="F16" s="17">
        <v>13</v>
      </c>
      <c r="G16" s="17">
        <v>44856.765096257601</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12.035873816866115</v>
      </c>
      <c r="G19" s="12">
        <v>0.61127886645327356</v>
      </c>
      <c r="H19" s="12">
        <v>19.689661261643082</v>
      </c>
      <c r="I19" s="12">
        <v>1.6740589258087272E-10</v>
      </c>
      <c r="J19" s="12">
        <v>10.704011597892325</v>
      </c>
      <c r="K19" s="12">
        <v>13.367736035839904</v>
      </c>
      <c r="L19" s="12">
        <v>10.704011597892325</v>
      </c>
      <c r="M19" s="12">
        <v>13.367736035839904</v>
      </c>
    </row>
    <row r="20" spans="5:13">
      <c r="E20" s="19" t="s">
        <v>104</v>
      </c>
      <c r="F20" s="17">
        <v>2.0057159534781199</v>
      </c>
      <c r="G20" s="17">
        <v>9.2826014844942691E-3</v>
      </c>
      <c r="H20" s="17">
        <v>216.07261249214284</v>
      </c>
      <c r="I20" s="17">
        <v>6.4950273795126988E-23</v>
      </c>
      <c r="J20" s="17">
        <v>1.9854909025406964</v>
      </c>
      <c r="K20" s="17">
        <v>2.0259410044155435</v>
      </c>
      <c r="L20" s="17">
        <v>1.9854909025406964</v>
      </c>
      <c r="M20" s="17">
        <v>2.0259410044155435</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cols>
    <col min="5" max="5" width="18.4140625" customWidth="1"/>
  </cols>
  <sheetData>
    <row r="1" spans="1:10">
      <c r="A1" s="3">
        <v>7</v>
      </c>
      <c r="B1" s="4">
        <v>25.158485000469952</v>
      </c>
    </row>
    <row r="2" spans="1:10">
      <c r="A2" s="3">
        <v>14</v>
      </c>
      <c r="B2" s="4">
        <v>40.914025703317549</v>
      </c>
    </row>
    <row r="3" spans="1:10">
      <c r="A3" s="3">
        <v>21</v>
      </c>
      <c r="B3" s="4">
        <v>54.333904518576176</v>
      </c>
      <c r="E3" s="13" t="s">
        <v>117</v>
      </c>
    </row>
    <row r="4" spans="1:10">
      <c r="A4" s="3">
        <v>28</v>
      </c>
      <c r="B4" s="4">
        <v>67.803920929719254</v>
      </c>
    </row>
    <row r="5" spans="1:10" ht="15" customHeight="1">
      <c r="A5" s="3">
        <v>35</v>
      </c>
      <c r="B5" s="4">
        <v>82.878073270027286</v>
      </c>
      <c r="E5" s="14" t="s">
        <v>118</v>
      </c>
      <c r="F5" s="15"/>
    </row>
    <row r="6" spans="1:10">
      <c r="A6" s="3">
        <v>42</v>
      </c>
      <c r="B6" s="4">
        <v>96.886619132297795</v>
      </c>
      <c r="E6" s="13" t="s">
        <v>119</v>
      </c>
      <c r="F6" s="12">
        <v>0.99987465990214308</v>
      </c>
    </row>
    <row r="7" spans="1:10">
      <c r="A7" s="3">
        <v>49</v>
      </c>
      <c r="B7" s="4">
        <v>111.90979727997097</v>
      </c>
      <c r="E7" s="13" t="s">
        <v>120</v>
      </c>
      <c r="F7" s="12">
        <v>0.99974933551442635</v>
      </c>
    </row>
    <row r="8" spans="1:10">
      <c r="A8" s="3">
        <v>56</v>
      </c>
      <c r="B8" s="4">
        <v>123.13177665645941</v>
      </c>
      <c r="E8" s="13" t="s">
        <v>121</v>
      </c>
      <c r="F8" s="12">
        <v>0.99972844680729522</v>
      </c>
    </row>
    <row r="9" spans="1:10">
      <c r="A9" s="3">
        <v>63</v>
      </c>
      <c r="B9" s="4">
        <v>139.49792571886456</v>
      </c>
      <c r="E9" s="13" t="s">
        <v>122</v>
      </c>
      <c r="F9" s="12">
        <v>0.9620154754424427</v>
      </c>
    </row>
    <row r="10" spans="1:10">
      <c r="A10" s="3">
        <v>70</v>
      </c>
      <c r="B10" s="4">
        <v>151.42920255354133</v>
      </c>
      <c r="E10" s="16" t="s">
        <v>123</v>
      </c>
      <c r="F10" s="17">
        <v>14</v>
      </c>
    </row>
    <row r="11" spans="1:10">
      <c r="A11" s="3">
        <v>77</v>
      </c>
      <c r="B11" s="4">
        <v>167.27711210995218</v>
      </c>
    </row>
    <row r="12" spans="1:10">
      <c r="A12" s="3">
        <v>84</v>
      </c>
      <c r="B12" s="4">
        <v>179.98614295859142</v>
      </c>
      <c r="E12" s="13" t="s">
        <v>124</v>
      </c>
    </row>
    <row r="13" spans="1:10" ht="15" customHeight="1">
      <c r="A13" s="3">
        <v>91</v>
      </c>
      <c r="B13" s="4">
        <v>195.65089102024561</v>
      </c>
      <c r="E13" s="15"/>
      <c r="F13" s="14" t="s">
        <v>125</v>
      </c>
      <c r="G13" s="14" t="s">
        <v>126</v>
      </c>
      <c r="H13" s="14" t="s">
        <v>127</v>
      </c>
      <c r="I13" s="14" t="s">
        <v>128</v>
      </c>
      <c r="J13" s="14" t="s">
        <v>129</v>
      </c>
    </row>
    <row r="14" spans="1:10">
      <c r="A14" s="3">
        <v>98</v>
      </c>
      <c r="B14" s="4">
        <v>207.97333428016537</v>
      </c>
      <c r="E14" s="13" t="s">
        <v>130</v>
      </c>
      <c r="F14" s="12">
        <v>1</v>
      </c>
      <c r="G14" s="12">
        <v>44293.875431094588</v>
      </c>
      <c r="H14" s="12">
        <v>44293.875431094588</v>
      </c>
      <c r="I14" s="12">
        <v>47860.75697448838</v>
      </c>
      <c r="J14" s="12">
        <v>0</v>
      </c>
    </row>
    <row r="15" spans="1:10">
      <c r="A15" s="3">
        <v>105</v>
      </c>
      <c r="B15" s="4">
        <v>221.03119760459461</v>
      </c>
      <c r="E15" s="13" t="s">
        <v>131</v>
      </c>
      <c r="F15" s="12">
        <v>12</v>
      </c>
      <c r="G15" s="12">
        <v>11.105685299888989</v>
      </c>
      <c r="H15" s="12">
        <v>0.92547377499074912</v>
      </c>
    </row>
    <row r="16" spans="1:10">
      <c r="E16" s="16" t="s">
        <v>132</v>
      </c>
      <c r="F16" s="17">
        <v>13</v>
      </c>
      <c r="G16" s="17">
        <v>44304.981116394476</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12.874652598196008</v>
      </c>
      <c r="G19" s="12">
        <v>0.60001622354140127</v>
      </c>
      <c r="H19" s="12">
        <v>21.457174144738193</v>
      </c>
      <c r="I19" s="12">
        <v>6.127242168479488E-11</v>
      </c>
      <c r="J19" s="12">
        <v>11.567329569767361</v>
      </c>
      <c r="K19" s="12">
        <v>14.181975626624654</v>
      </c>
      <c r="L19" s="12">
        <v>11.567329569767361</v>
      </c>
      <c r="M19" s="12">
        <v>14.181975626624654</v>
      </c>
    </row>
    <row r="20" spans="5:13">
      <c r="E20" s="19" t="s">
        <v>104</v>
      </c>
      <c r="F20" s="17">
        <v>1.9933478839874912</v>
      </c>
      <c r="G20" s="17">
        <v>9.111572136760282E-3</v>
      </c>
      <c r="H20" s="17">
        <v>218.77101493225379</v>
      </c>
      <c r="I20" s="17">
        <v>5.5964873387160296E-23</v>
      </c>
      <c r="J20" s="17">
        <v>1.9734954739821913</v>
      </c>
      <c r="K20" s="17">
        <v>2.0132002939927909</v>
      </c>
      <c r="L20" s="17">
        <v>1.9734954739821913</v>
      </c>
      <c r="M20" s="17">
        <v>2.0132002939927909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20"/>
  <sheetViews>
    <sheetView workbookViewId="0"/>
  </sheetViews>
  <sheetFormatPr defaultColWidth="12.6640625" defaultRowHeight="15" customHeight="1"/>
  <cols>
    <col min="5" max="5" width="18.4140625" customWidth="1"/>
  </cols>
  <sheetData>
    <row r="1" spans="1:10">
      <c r="A1" s="3">
        <v>7</v>
      </c>
      <c r="B1" s="4">
        <v>25.828425143525664</v>
      </c>
    </row>
    <row r="2" spans="1:10">
      <c r="A2" s="3">
        <v>14</v>
      </c>
      <c r="B2" s="4">
        <v>40.208964840125866</v>
      </c>
    </row>
    <row r="3" spans="1:10">
      <c r="A3" s="3">
        <v>21</v>
      </c>
      <c r="B3" s="4">
        <v>53.348999623211185</v>
      </c>
      <c r="E3" s="13" t="s">
        <v>117</v>
      </c>
    </row>
    <row r="4" spans="1:10">
      <c r="A4" s="3">
        <v>28</v>
      </c>
      <c r="B4" s="4">
        <v>67.002191475467711</v>
      </c>
    </row>
    <row r="5" spans="1:10" ht="15" customHeight="1">
      <c r="A5" s="3">
        <v>35</v>
      </c>
      <c r="B5" s="4">
        <v>82.337317175394872</v>
      </c>
      <c r="E5" s="14" t="s">
        <v>118</v>
      </c>
      <c r="F5" s="15"/>
    </row>
    <row r="6" spans="1:10">
      <c r="A6" s="3">
        <v>42</v>
      </c>
      <c r="B6" s="4">
        <v>96.785881016438992</v>
      </c>
      <c r="E6" s="13" t="s">
        <v>119</v>
      </c>
      <c r="F6" s="12">
        <v>0.99992944623678848</v>
      </c>
    </row>
    <row r="7" spans="1:10">
      <c r="A7" s="3">
        <v>49</v>
      </c>
      <c r="B7" s="4">
        <v>109.09501777515089</v>
      </c>
      <c r="E7" s="13" t="s">
        <v>120</v>
      </c>
      <c r="F7" s="12">
        <v>0.99985889745141043</v>
      </c>
    </row>
    <row r="8" spans="1:10">
      <c r="A8" s="3">
        <v>56</v>
      </c>
      <c r="B8" s="4">
        <v>124.37251053362164</v>
      </c>
      <c r="E8" s="13" t="s">
        <v>121</v>
      </c>
      <c r="F8" s="12">
        <v>0.99984713890569465</v>
      </c>
    </row>
    <row r="9" spans="1:10">
      <c r="A9" s="3">
        <v>63</v>
      </c>
      <c r="B9" s="4">
        <v>139.50842324425167</v>
      </c>
      <c r="E9" s="13" t="s">
        <v>122</v>
      </c>
      <c r="F9" s="12">
        <v>0.72992027054286579</v>
      </c>
    </row>
    <row r="10" spans="1:10">
      <c r="A10" s="3">
        <v>70</v>
      </c>
      <c r="B10" s="4">
        <v>151.9821953381757</v>
      </c>
      <c r="E10" s="16" t="s">
        <v>123</v>
      </c>
      <c r="F10" s="17">
        <v>14</v>
      </c>
    </row>
    <row r="11" spans="1:10">
      <c r="A11" s="3">
        <v>77</v>
      </c>
      <c r="B11" s="4">
        <v>165.81369872409175</v>
      </c>
    </row>
    <row r="12" spans="1:10">
      <c r="A12" s="3">
        <v>84</v>
      </c>
      <c r="B12" s="4">
        <v>181.71847368675137</v>
      </c>
      <c r="E12" s="13" t="s">
        <v>124</v>
      </c>
    </row>
    <row r="13" spans="1:10" ht="15" customHeight="1">
      <c r="A13" s="3">
        <v>91</v>
      </c>
      <c r="B13" s="4">
        <v>194.38602085642415</v>
      </c>
      <c r="E13" s="15"/>
      <c r="F13" s="14" t="s">
        <v>125</v>
      </c>
      <c r="G13" s="14" t="s">
        <v>126</v>
      </c>
      <c r="H13" s="14" t="s">
        <v>127</v>
      </c>
      <c r="I13" s="14" t="s">
        <v>128</v>
      </c>
      <c r="J13" s="14" t="s">
        <v>129</v>
      </c>
    </row>
    <row r="14" spans="1:10">
      <c r="A14" s="3">
        <v>98</v>
      </c>
      <c r="B14" s="4">
        <v>209.04864330330091</v>
      </c>
      <c r="E14" s="13" t="s">
        <v>130</v>
      </c>
      <c r="F14" s="12">
        <v>1</v>
      </c>
      <c r="G14" s="12">
        <v>45303.937842381492</v>
      </c>
      <c r="H14" s="12">
        <v>45303.937842381492</v>
      </c>
      <c r="I14" s="12">
        <v>85032.530520160741</v>
      </c>
      <c r="J14" s="12">
        <v>0</v>
      </c>
    </row>
    <row r="15" spans="1:10">
      <c r="A15" s="3">
        <v>105</v>
      </c>
      <c r="B15" s="4">
        <v>223.05803246527432</v>
      </c>
      <c r="E15" s="13" t="s">
        <v>131</v>
      </c>
      <c r="F15" s="12">
        <v>12</v>
      </c>
      <c r="G15" s="12">
        <v>6.3934032161924454</v>
      </c>
      <c r="H15" s="12">
        <v>0.53278360134937042</v>
      </c>
    </row>
    <row r="16" spans="1:10">
      <c r="E16" s="16" t="s">
        <v>132</v>
      </c>
      <c r="F16" s="17">
        <v>13</v>
      </c>
      <c r="G16" s="17">
        <v>45310.331245597685</v>
      </c>
      <c r="H16" s="18"/>
      <c r="I16" s="18"/>
      <c r="J16" s="18"/>
    </row>
    <row r="18" spans="5:13" ht="15" customHeight="1">
      <c r="E18" s="15"/>
      <c r="F18" s="14" t="s">
        <v>133</v>
      </c>
      <c r="G18" s="14" t="s">
        <v>122</v>
      </c>
      <c r="H18" s="14" t="s">
        <v>134</v>
      </c>
      <c r="I18" s="14" t="s">
        <v>135</v>
      </c>
      <c r="J18" s="14" t="s">
        <v>136</v>
      </c>
      <c r="K18" s="14" t="s">
        <v>137</v>
      </c>
      <c r="L18" s="14" t="s">
        <v>136</v>
      </c>
      <c r="M18" s="14" t="s">
        <v>137</v>
      </c>
    </row>
    <row r="19" spans="5:13">
      <c r="E19" s="13" t="s">
        <v>138</v>
      </c>
      <c r="F19" s="12">
        <v>11.384430926737878</v>
      </c>
      <c r="G19" s="12">
        <v>0.45525671405236307</v>
      </c>
      <c r="H19" s="12">
        <v>25.006618409648439</v>
      </c>
      <c r="I19" s="12">
        <v>1.0133124185254402E-11</v>
      </c>
      <c r="J19" s="12">
        <v>10.392511770594689</v>
      </c>
      <c r="K19" s="12">
        <v>12.376350082881066</v>
      </c>
      <c r="L19" s="12">
        <v>10.392511770594689</v>
      </c>
      <c r="M19" s="12">
        <v>12.376350082881066</v>
      </c>
    </row>
    <row r="20" spans="5:13">
      <c r="E20" s="19" t="s">
        <v>104</v>
      </c>
      <c r="F20" s="17">
        <v>2.0159475835334337</v>
      </c>
      <c r="G20" s="17">
        <v>6.9133203871550551E-3</v>
      </c>
      <c r="H20" s="17">
        <v>291.60337878728478</v>
      </c>
      <c r="I20" s="17">
        <v>1.7805223765314185E-24</v>
      </c>
      <c r="J20" s="17">
        <v>2.000884752579148</v>
      </c>
      <c r="K20" s="17">
        <v>2.0310104144877195</v>
      </c>
      <c r="L20" s="17">
        <v>2.000884752579148</v>
      </c>
      <c r="M20" s="17">
        <v>2.0310104144877195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5"/>
  <sheetViews>
    <sheetView workbookViewId="0"/>
  </sheetViews>
  <sheetFormatPr defaultColWidth="12.6640625" defaultRowHeight="15" customHeight="1"/>
  <sheetData>
    <row r="1" spans="1:1">
      <c r="A1" s="3">
        <v>7</v>
      </c>
    </row>
    <row r="2" spans="1:1">
      <c r="A2" s="3">
        <v>14</v>
      </c>
    </row>
    <row r="3" spans="1:1">
      <c r="A3" s="3">
        <v>21</v>
      </c>
    </row>
    <row r="4" spans="1:1">
      <c r="A4" s="3">
        <v>28</v>
      </c>
    </row>
    <row r="5" spans="1:1">
      <c r="A5" s="3">
        <v>35</v>
      </c>
    </row>
    <row r="6" spans="1:1">
      <c r="A6" s="3">
        <v>42</v>
      </c>
    </row>
    <row r="7" spans="1:1">
      <c r="A7" s="3">
        <v>49</v>
      </c>
    </row>
    <row r="8" spans="1:1">
      <c r="A8" s="3">
        <v>56</v>
      </c>
    </row>
    <row r="9" spans="1:1">
      <c r="A9" s="3">
        <v>63</v>
      </c>
    </row>
    <row r="10" spans="1:1">
      <c r="A10" s="3">
        <v>70</v>
      </c>
    </row>
    <row r="11" spans="1:1">
      <c r="A11" s="3">
        <v>77</v>
      </c>
    </row>
    <row r="12" spans="1:1">
      <c r="A12" s="3">
        <v>84</v>
      </c>
    </row>
    <row r="13" spans="1:1">
      <c r="A13" s="3">
        <v>91</v>
      </c>
    </row>
    <row r="14" spans="1:1">
      <c r="A14" s="3">
        <v>98</v>
      </c>
    </row>
    <row r="15" spans="1:1">
      <c r="A15" s="3">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Sheet1</vt:lpstr>
      <vt:lpstr>DATA</vt:lpstr>
      <vt:lpstr>DATA FOR REGRESSION</vt:lpstr>
      <vt:lpstr>Coefficients</vt:lpstr>
      <vt:lpstr>Y1</vt:lpstr>
      <vt:lpstr>Y2</vt:lpstr>
      <vt:lpstr>Y3</vt:lpstr>
      <vt:lpstr>Y4</vt:lpstr>
      <vt:lpstr>Y5</vt:lpstr>
      <vt:lpstr>Y6</vt:lpstr>
      <vt:lpstr>Y7</vt:lpstr>
      <vt:lpstr>Y8</vt:lpstr>
      <vt:lpstr>Y9</vt:lpstr>
      <vt:lpstr>Y10</vt:lpstr>
      <vt:lpstr>Y11</vt:lpstr>
      <vt:lpstr>Y12</vt:lpstr>
      <vt:lpstr>Y13</vt:lpstr>
      <vt:lpstr>Y14</vt:lpstr>
      <vt:lpstr>Y15</vt:lpstr>
      <vt:lpstr>Y16</vt:lpstr>
      <vt:lpstr>Y17</vt:lpstr>
      <vt:lpstr>Y18</vt:lpstr>
      <vt:lpstr>Y19</vt:lpstr>
      <vt:lpstr>Y20</vt:lpstr>
      <vt:lpstr>Y21</vt:lpstr>
      <vt:lpstr>Y22</vt:lpstr>
      <vt:lpstr>Y23</vt:lpstr>
      <vt:lpstr>Y24</vt:lpstr>
      <vt:lpstr>Y25</vt:lpstr>
      <vt:lpstr>Y26</vt:lpstr>
      <vt:lpstr>Y27</vt:lpstr>
      <vt:lpstr>Y28</vt:lpstr>
      <vt:lpstr>Y29</vt:lpstr>
      <vt:lpstr>Y30</vt:lpstr>
      <vt:lpstr>Y31</vt:lpstr>
      <vt:lpstr>Y32</vt:lpstr>
      <vt:lpstr>Y33</vt:lpstr>
      <vt:lpstr>Y34</vt:lpstr>
      <vt:lpstr>Y35</vt:lpstr>
      <vt:lpstr>Y36</vt:lpstr>
      <vt:lpstr>Y37</vt:lpstr>
      <vt:lpstr>Y38</vt:lpstr>
      <vt:lpstr>Y39</vt:lpstr>
      <vt:lpstr>Y40</vt:lpstr>
      <vt:lpstr>Y41</vt:lpstr>
      <vt:lpstr>Y42</vt:lpstr>
      <vt:lpstr>Y43</vt:lpstr>
      <vt:lpstr>Y44</vt:lpstr>
      <vt:lpstr>Y45</vt:lpstr>
      <vt:lpstr>Y46</vt:lpstr>
      <vt:lpstr>Y47</vt:lpstr>
      <vt:lpstr>Y48</vt:lpstr>
      <vt:lpstr>Y49</vt:lpstr>
      <vt:lpstr>Y50</vt:lpstr>
      <vt:lpstr>Sheet52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mollymoitra@gmail.com</cp:lastModifiedBy>
  <dcterms:modified xsi:type="dcterms:W3CDTF">2026-01-29T10:49:44Z</dcterms:modified>
</cp:coreProperties>
</file>